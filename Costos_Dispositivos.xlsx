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wpara\OneDrive\Escritorio\Proyecto Redes\"/>
    </mc:Choice>
  </mc:AlternateContent>
  <xr:revisionPtr revIDLastSave="0" documentId="13_ncr:1_{A90DF874-79B5-4BAA-A40C-3B2B465A03E2}" xr6:coauthVersionLast="47" xr6:coauthVersionMax="47" xr10:uidLastSave="{00000000-0000-0000-0000-000000000000}"/>
  <bookViews>
    <workbookView xWindow="-108" yWindow="-108" windowWidth="23256" windowHeight="13176" tabRatio="807" xr2:uid="{42A91679-58C8-4DE1-836B-998F979E378D}"/>
  </bookViews>
  <sheets>
    <sheet name="TELCOM ROOM" sheetId="1" r:id="rId1"/>
    <sheet name="LOBBY" sheetId="5" r:id="rId2"/>
    <sheet name="ASCENSORES" sheetId="9" r:id="rId3"/>
    <sheet name="HABITACIONES" sheetId="7" r:id="rId4"/>
    <sheet name="SALON DE EVENTOS Y CONFI" sheetId="8" r:id="rId5"/>
    <sheet name="PARQUEADERO" sheetId="10" r:id="rId6"/>
    <sheet name="OFI ADMINISTRATIVAS" sheetId="2" r:id="rId7"/>
    <sheet name="Cuarto de Mantenimiento e Ing" sheetId="11" r:id="rId8"/>
    <sheet name="CUARTO DE EQUIPOS" sheetId="3" r:id="rId9"/>
    <sheet name="VARIOS" sheetId="13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6" i="13" l="1"/>
  <c r="F10" i="13"/>
  <c r="F6" i="13"/>
  <c r="F38" i="13"/>
  <c r="M42" i="13"/>
  <c r="F47" i="13"/>
  <c r="F32" i="13"/>
  <c r="F22" i="13"/>
  <c r="F10" i="5"/>
  <c r="F11" i="5" s="1"/>
  <c r="F13" i="1"/>
  <c r="F12" i="1"/>
  <c r="F8" i="7"/>
  <c r="F11" i="7"/>
  <c r="F10" i="7"/>
  <c r="F6" i="10"/>
  <c r="F21" i="3"/>
  <c r="F20" i="3"/>
  <c r="F5" i="9"/>
  <c r="F4" i="10"/>
  <c r="F5" i="10"/>
  <c r="F3" i="10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3" i="3"/>
  <c r="M39" i="13"/>
  <c r="M40" i="13"/>
  <c r="M41" i="13"/>
  <c r="M38" i="13"/>
  <c r="M32" i="13"/>
  <c r="M33" i="13"/>
  <c r="M34" i="13"/>
  <c r="M31" i="13"/>
  <c r="M25" i="13"/>
  <c r="M26" i="13"/>
  <c r="M24" i="13"/>
  <c r="M17" i="13"/>
  <c r="M18" i="13"/>
  <c r="M16" i="13"/>
  <c r="M4" i="13"/>
  <c r="M5" i="13"/>
  <c r="M6" i="13"/>
  <c r="M7" i="13"/>
  <c r="M8" i="13"/>
  <c r="M9" i="13"/>
  <c r="M3" i="13"/>
  <c r="F4" i="13"/>
  <c r="F5" i="13"/>
  <c r="F7" i="13"/>
  <c r="F8" i="13"/>
  <c r="F9" i="13"/>
  <c r="F3" i="13"/>
  <c r="F44" i="13"/>
  <c r="F45" i="13"/>
  <c r="F46" i="13"/>
  <c r="F43" i="13"/>
  <c r="F36" i="13"/>
  <c r="F37" i="13"/>
  <c r="F35" i="13"/>
  <c r="F29" i="13"/>
  <c r="F30" i="13"/>
  <c r="F31" i="13"/>
  <c r="F28" i="13"/>
  <c r="F14" i="13"/>
  <c r="F15" i="13"/>
  <c r="F16" i="13"/>
  <c r="F17" i="13"/>
  <c r="F18" i="13"/>
  <c r="F19" i="13"/>
  <c r="F20" i="13"/>
  <c r="F21" i="13"/>
  <c r="F13" i="13"/>
  <c r="F4" i="2"/>
  <c r="F5" i="2"/>
  <c r="F6" i="2"/>
  <c r="F8" i="2"/>
  <c r="F9" i="2"/>
  <c r="F10" i="2"/>
  <c r="F11" i="2"/>
  <c r="F12" i="2"/>
  <c r="F3" i="2"/>
  <c r="F12" i="11"/>
  <c r="F4" i="11"/>
  <c r="F5" i="11"/>
  <c r="F6" i="11"/>
  <c r="F7" i="11"/>
  <c r="F8" i="11"/>
  <c r="F9" i="11"/>
  <c r="F10" i="11"/>
  <c r="F11" i="11"/>
  <c r="F3" i="11"/>
  <c r="F4" i="8"/>
  <c r="F5" i="8"/>
  <c r="F6" i="8"/>
  <c r="F7" i="8"/>
  <c r="F8" i="8"/>
  <c r="F11" i="8" s="1"/>
  <c r="F9" i="8"/>
  <c r="F10" i="8"/>
  <c r="F3" i="8"/>
  <c r="F4" i="7"/>
  <c r="F9" i="7"/>
  <c r="F7" i="7"/>
  <c r="F6" i="7"/>
  <c r="F5" i="7"/>
  <c r="F3" i="7"/>
  <c r="F4" i="9"/>
  <c r="F3" i="9"/>
  <c r="F6" i="9" s="1"/>
  <c r="F4" i="5"/>
  <c r="F5" i="5"/>
  <c r="F6" i="5"/>
  <c r="F7" i="5"/>
  <c r="F8" i="5"/>
  <c r="F9" i="5"/>
  <c r="F3" i="5"/>
  <c r="F4" i="1"/>
  <c r="F5" i="1"/>
  <c r="F6" i="1"/>
  <c r="F7" i="1"/>
  <c r="F8" i="1"/>
  <c r="F9" i="1"/>
  <c r="F10" i="1"/>
  <c r="F11" i="1"/>
  <c r="F3" i="1"/>
  <c r="D20" i="1" l="1"/>
  <c r="F14" i="1"/>
  <c r="F13" i="2"/>
  <c r="F12" i="7"/>
  <c r="F7" i="10"/>
  <c r="M35" i="13"/>
  <c r="M10" i="13"/>
  <c r="M19" i="13"/>
  <c r="M27" i="13"/>
</calcChain>
</file>

<file path=xl/sharedStrings.xml><?xml version="1.0" encoding="utf-8"?>
<sst xmlns="http://schemas.openxmlformats.org/spreadsheetml/2006/main" count="401" uniqueCount="188">
  <si>
    <t>Dipositivos</t>
  </si>
  <si>
    <t>Cantidad</t>
  </si>
  <si>
    <t>Precio (u)</t>
  </si>
  <si>
    <t>Referencia</t>
  </si>
  <si>
    <t>Total</t>
  </si>
  <si>
    <t>Switches de Red</t>
  </si>
  <si>
    <t xml:space="preserve">Patch Panels </t>
  </si>
  <si>
    <t>Servidores</t>
  </si>
  <si>
    <t>Enrutadores</t>
  </si>
  <si>
    <t>Servidor de almacenamiento</t>
  </si>
  <si>
    <t>UPS</t>
  </si>
  <si>
    <t>Switch CCTV</t>
  </si>
  <si>
    <t>Firewall</t>
  </si>
  <si>
    <t>NVR (Network Video Recorder)</t>
  </si>
  <si>
    <t xml:space="preserve">Cisco Catalyst 9200-48PB </t>
  </si>
  <si>
    <t xml:space="preserve">Patch Panel Blindado de 24 Puertos Categoría 6ª </t>
  </si>
  <si>
    <t xml:space="preserve">HPE ProLiant DL380 Gen10 </t>
  </si>
  <si>
    <t xml:space="preserve">Synology RackStation RS1221+ </t>
  </si>
  <si>
    <t xml:space="preserve">APC Smart-UPS On-Line SRT5000RMXLA </t>
  </si>
  <si>
    <t>Ubiquiti UniFi Switch Pro 24 PoE</t>
  </si>
  <si>
    <t>Hikvision DS-7608NI-I2/8P</t>
  </si>
  <si>
    <t>Precio (u/USd)</t>
  </si>
  <si>
    <t>Cisco Meraki MX75</t>
  </si>
  <si>
    <t>Access Points Wi-Fi</t>
  </si>
  <si>
    <t>Sistema de Sonido IP</t>
  </si>
  <si>
    <t>Pantallas de Información</t>
  </si>
  <si>
    <t>Sistema de Punto de Venta (POS)</t>
  </si>
  <si>
    <t>Cámaras de Seguridad (CCTV)</t>
  </si>
  <si>
    <t>Control de Acceso</t>
  </si>
  <si>
    <t>Botones de Emergencia</t>
  </si>
  <si>
    <t>TP-Link Omada EAP660 HD</t>
  </si>
  <si>
    <t xml:space="preserve">Bose Professional FreeSpace FS4CE </t>
  </si>
  <si>
    <t xml:space="preserve">Samsung Hospitality Series (HT690U) </t>
  </si>
  <si>
    <t xml:space="preserve">Elo PayPoint for Windows </t>
  </si>
  <si>
    <t xml:space="preserve">Hikvision Serie DS-2CD </t>
  </si>
  <si>
    <t xml:space="preserve">Suprema BioStation 2 </t>
  </si>
  <si>
    <t xml:space="preserve">Bosch RF3334E Wireless Panic Button </t>
  </si>
  <si>
    <t>Sensores de Seguridad Conectados</t>
  </si>
  <si>
    <t xml:space="preserve">Philips Hue Motion Sensor </t>
  </si>
  <si>
    <t>Pantallas de IPTV</t>
  </si>
  <si>
    <t>Sistema de Telefonía IP</t>
  </si>
  <si>
    <t>Puntos de Carga USB</t>
  </si>
  <si>
    <t xml:space="preserve">TP-Link Omada EAP660 HD </t>
  </si>
  <si>
    <t>Sistema de Sonido</t>
  </si>
  <si>
    <t>Sistema de Videoconferencia</t>
  </si>
  <si>
    <t xml:space="preserve">Logitech Rally </t>
  </si>
  <si>
    <t>Hikvision Serie DS-2CD</t>
  </si>
  <si>
    <t>Access Points Wi-Fi para Exteriores</t>
  </si>
  <si>
    <t>Cámaras de Seguridad (CCTV) resistentes al clima</t>
  </si>
  <si>
    <t>Routers de Alta Capacidad</t>
  </si>
  <si>
    <t>Switches</t>
  </si>
  <si>
    <t>Puntos de Acceso Wi-Fi</t>
  </si>
  <si>
    <t xml:space="preserve">Ubiquiti UniFi 6 Long Range </t>
  </si>
  <si>
    <t xml:space="preserve">Fortinet FortiGate 60F </t>
  </si>
  <si>
    <t>Cableado y Conectividad Física</t>
  </si>
  <si>
    <t>Sistema de Comunicación Interna</t>
  </si>
  <si>
    <t>Hytera PD405</t>
  </si>
  <si>
    <t>Cableado Cat 6/6a / Fibra Óptica / Patch Panels</t>
  </si>
  <si>
    <t>Sensores de Seguridad y Alarma</t>
  </si>
  <si>
    <t>Philips Hue Motion Sensor</t>
  </si>
  <si>
    <t xml:space="preserve">Cisco Catalyst 2960X-48FPD-L </t>
  </si>
  <si>
    <t xml:space="preserve">Ubiquiti UniFi 6 Pro </t>
  </si>
  <si>
    <t>Firewall de Red</t>
  </si>
  <si>
    <t>Cables y Conectividad Física</t>
  </si>
  <si>
    <t xml:space="preserve">Cableado Cat 6a </t>
  </si>
  <si>
    <t>Servidor</t>
  </si>
  <si>
    <t>Teléfono</t>
  </si>
  <si>
    <t xml:space="preserve">Grandstream UCM6300 Series </t>
  </si>
  <si>
    <t xml:space="preserve">Grandstream GXP2160 </t>
  </si>
  <si>
    <t>Computador</t>
  </si>
  <si>
    <t>Impresora</t>
  </si>
  <si>
    <t xml:space="preserve">HP EliteOne 800 G6 All-in-One </t>
  </si>
  <si>
    <t xml:space="preserve">Brother MFC-L3770CDW </t>
  </si>
  <si>
    <t>Servidores y Almacenamiento</t>
  </si>
  <si>
    <t>Switches y Patch Panels</t>
  </si>
  <si>
    <t xml:space="preserve">Cisco ISR 4331 </t>
  </si>
  <si>
    <t>Sistemas de Respaldo de Energía (UPS)</t>
  </si>
  <si>
    <t xml:space="preserve">APC Smart-UPS 1500VA </t>
  </si>
  <si>
    <t>Control de Temperatura y Ventilación</t>
  </si>
  <si>
    <t>Tripp Lite Rack-Mount Air Conditioner</t>
  </si>
  <si>
    <t>Sistema de Monitoreo de Red</t>
  </si>
  <si>
    <t>SolarWinds Network Performance Monitor</t>
  </si>
  <si>
    <t>Sistema de Seguridad y Control de Acceso</t>
  </si>
  <si>
    <t xml:space="preserve">Hikvision DS-2CD2132-I </t>
  </si>
  <si>
    <t>Sistema de Monitoreo Ambiental</t>
  </si>
  <si>
    <t>UbiBot WS1 Pro</t>
  </si>
  <si>
    <t>Sistema de Alarmas y Detección de Incendios</t>
  </si>
  <si>
    <t>Panel de Control de Red</t>
  </si>
  <si>
    <t xml:space="preserve">Cisco Prime Infrastructure </t>
  </si>
  <si>
    <t>Cableado de Alta Densidad</t>
  </si>
  <si>
    <t xml:space="preserve">Belden 10GBase-T Cat 6A </t>
  </si>
  <si>
    <t>Sistemas de Rack y Organización de Cableado</t>
  </si>
  <si>
    <t>Redundancia de Conectividad (Enlaces de Backup)</t>
  </si>
  <si>
    <t>Equipos de Seguridad Adicionales</t>
  </si>
  <si>
    <t>Sistema de Gestión de Energía Inteligente</t>
  </si>
  <si>
    <t xml:space="preserve">APC Smart-UPS On-Line </t>
  </si>
  <si>
    <t>Conexión Remota y Gestión de Dispositivos</t>
  </si>
  <si>
    <t>Software de Monitoreo de Equipos y Alertas Automatizadas</t>
  </si>
  <si>
    <t xml:space="preserve">PRTG Network Monitor </t>
  </si>
  <si>
    <t>Gimnasio</t>
  </si>
  <si>
    <t>Conectividad para Equipos de Ejercicio Inteligentes</t>
  </si>
  <si>
    <t>Pantallas con IPTV</t>
  </si>
  <si>
    <t>Technogym MyRun</t>
  </si>
  <si>
    <t>Puntos de Carga USB o Ethernet</t>
  </si>
  <si>
    <t xml:space="preserve">Leviton T5635 </t>
  </si>
  <si>
    <t>Bar</t>
  </si>
  <si>
    <t>Samsung Hospitality Series (HT690U)</t>
  </si>
  <si>
    <t>Elo PayPoint for Windows</t>
  </si>
  <si>
    <t>Control de Iluminación Inteligente</t>
  </si>
  <si>
    <t xml:space="preserve">Philips Hue con Bridge </t>
  </si>
  <si>
    <t xml:space="preserve">Hytera PD405 </t>
  </si>
  <si>
    <t>Zona de Piscinas</t>
  </si>
  <si>
    <t>Ubiquiti UniFi UAP-AC-M Pro</t>
  </si>
  <si>
    <t>Sistema de Sonido IP para Exteriores</t>
  </si>
  <si>
    <t>Pantallas para Información y Entretenimiento</t>
  </si>
  <si>
    <t>Samsung OHF Series Outdoor Signage Display</t>
  </si>
  <si>
    <t>Iluminación Inteligente</t>
  </si>
  <si>
    <t>Puntos de Carga USB resistentes al agua</t>
  </si>
  <si>
    <t xml:space="preserve">Leviton T5636 </t>
  </si>
  <si>
    <t>Baños Públicos</t>
  </si>
  <si>
    <t>Cámaras de Seguridad (CCTV) (en zonas de entrada)</t>
  </si>
  <si>
    <t>Cuartos de Servicios y Almacenamiento</t>
  </si>
  <si>
    <t>Cocina y Área de Servicio de Alimentos</t>
  </si>
  <si>
    <t>Sensores de Seguridad</t>
  </si>
  <si>
    <t>Lavandería</t>
  </si>
  <si>
    <t>Área de Personal</t>
  </si>
  <si>
    <t>Cuarto de Basura o Gestión de Residuos</t>
  </si>
  <si>
    <t>Botones de emergencia</t>
  </si>
  <si>
    <t>Enfermería</t>
  </si>
  <si>
    <t>Sistema de comunicación interna</t>
  </si>
  <si>
    <t>Botones de emergencia y sistema de alarma</t>
  </si>
  <si>
    <t>Bosch RF3334E Wireless Panic Button</t>
  </si>
  <si>
    <t>Red de datos y telefonía</t>
  </si>
  <si>
    <t xml:space="preserve">Cisco Unified Communications Manager </t>
  </si>
  <si>
    <t>Sistemas de monitoreo de salud (Equipo médico)</t>
  </si>
  <si>
    <t>Philips IntelliVue MX40</t>
  </si>
  <si>
    <t>Bose freespace 360 ii</t>
  </si>
  <si>
    <t>Pantalla</t>
  </si>
  <si>
    <t>Proyectores</t>
  </si>
  <si>
    <t>Da-Lite Tensioned Advantage 16:10</t>
  </si>
  <si>
    <t>LG HU70LS</t>
  </si>
  <si>
    <t>Leviton T5635</t>
  </si>
  <si>
    <t>Control de Iluminación</t>
  </si>
  <si>
    <t xml:space="preserve"> Climatización</t>
  </si>
  <si>
    <t>Philips Hue Bridge</t>
  </si>
  <si>
    <t xml:space="preserve"> Nest Learning Thermostat (Crestron)</t>
  </si>
  <si>
    <t>MikroTik CCR1072-1G-8S+</t>
  </si>
  <si>
    <t>MikroTik Cloud Router Switch 10G (CRS312-4C+8XG)</t>
  </si>
  <si>
    <t>Costo dispositivos del hotel total:</t>
  </si>
  <si>
    <t>StarTech 25U Rackmount Server Cabinet</t>
  </si>
  <si>
    <t>Cisco Meraki MX</t>
  </si>
  <si>
    <t>Sistema de Comunicación de Emergencia</t>
  </si>
  <si>
    <t xml:space="preserve">Aiphone JOS-1VW Video Door Station con Comunicación de Emergencia </t>
  </si>
  <si>
    <t>Sistema de acceso</t>
  </si>
  <si>
    <t>PISOS</t>
  </si>
  <si>
    <t>CUARTOS</t>
  </si>
  <si>
    <t>TODOS</t>
  </si>
  <si>
    <t>HABITACIONES (4 HABITICONES X PISO)</t>
  </si>
  <si>
    <t xml:space="preserve">SALON DE EVENTOS, COCINA Y AREA DE COMIDAS, </t>
  </si>
  <si>
    <t>CUARTO DE MANTENIMIENTO, CUARTO DE EQUIPOS</t>
  </si>
  <si>
    <t>ALMACENAMIENTO Y LAVANDERIA</t>
  </si>
  <si>
    <t>Edwards 270-SPO</t>
  </si>
  <si>
    <t>Ubiquiti UniFi Dream Machine Pro</t>
  </si>
  <si>
    <t>3xPiso</t>
  </si>
  <si>
    <t>5xPiso</t>
  </si>
  <si>
    <t>4xPiso</t>
  </si>
  <si>
    <t>Cisco ISR 4000 Series (SR4221-SEC/K9)</t>
  </si>
  <si>
    <t>BAÑOS PUBLICOS, TELECOM ROOM (NO EN EL 6), ELEVADORES</t>
  </si>
  <si>
    <t>Samsung 43" Full HD T5300</t>
  </si>
  <si>
    <t>5xhabitacion</t>
  </si>
  <si>
    <t>LUGARES</t>
  </si>
  <si>
    <t>SEGUNDO PISO (RESTAURANT)</t>
  </si>
  <si>
    <t>PRIMER PISO (LOBBY)</t>
  </si>
  <si>
    <t>TERCER PISO (ALMACEN)</t>
  </si>
  <si>
    <t>CUARTO PISO (PERSONAL)</t>
  </si>
  <si>
    <t>6 AL 16</t>
  </si>
  <si>
    <t>AREA DE PERSONAL, ZONA ADMINISTRATIVA</t>
  </si>
  <si>
    <t>Computadores</t>
  </si>
  <si>
    <t>TERCER PISO</t>
  </si>
  <si>
    <t>SEXTO PISO (HABITACIONES)</t>
  </si>
  <si>
    <t>TERCERO PISO (ALMACEN)</t>
  </si>
  <si>
    <t>CUARTO PISO (ADMINISTRACION)</t>
  </si>
  <si>
    <t>QUINTO PISO (TELECOM)</t>
  </si>
  <si>
    <t>Aire acondicionado</t>
  </si>
  <si>
    <t>LG 12000BTU 110V DUAL INVERTER VS121C7</t>
  </si>
  <si>
    <t>LOBBY, ENFERMERIA, CUARTO DE RESIDUOS, PARQUEADERO, GYM, PISCINA, BAR</t>
  </si>
  <si>
    <t>Precio total varios:</t>
  </si>
  <si>
    <t>Lugares Baños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</si>
</sst>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&quot;$&quot;\ #,##0.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2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2"/>
      <color theme="1"/>
      <name val="Aptos Narrow"/>
      <scheme val="minor"/>
    </font>
    <font>
      <b/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34BAF0"/>
        <bgColor indexed="64"/>
      </patternFill>
    </fill>
    <fill>
      <patternFill patternType="solid">
        <fgColor rgb="FF94DCF8"/>
        <bgColor indexed="64"/>
      </patternFill>
    </fill>
    <fill>
      <patternFill patternType="solid">
        <fgColor rgb="FF94DCF8"/>
        <bgColor rgb="FF000000"/>
      </patternFill>
    </fill>
    <fill>
      <patternFill patternType="solid">
        <fgColor theme="7" tint="0.79998168889431442"/>
        <bgColor rgb="FF000000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164" fontId="0" fillId="0" borderId="0" xfId="0" applyNumberFormat="1"/>
    <xf numFmtId="0" fontId="6" fillId="2" borderId="0" xfId="0" applyFont="1" applyFill="1"/>
    <xf numFmtId="0" fontId="0" fillId="2" borderId="0" xfId="0" applyFill="1"/>
    <xf numFmtId="0" fontId="0" fillId="0" borderId="23" xfId="0" applyBorder="1"/>
    <xf numFmtId="0" fontId="6" fillId="0" borderId="0" xfId="0" applyFont="1"/>
    <xf numFmtId="0" fontId="0" fillId="4" borderId="18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7" fontId="0" fillId="4" borderId="15" xfId="0" applyNumberForma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0" fillId="0" borderId="6" xfId="0" applyBorder="1"/>
    <xf numFmtId="0" fontId="0" fillId="4" borderId="1" xfId="0" applyFill="1" applyBorder="1"/>
    <xf numFmtId="0" fontId="2" fillId="8" borderId="1" xfId="0" applyFont="1" applyFill="1" applyBorder="1"/>
    <xf numFmtId="0" fontId="2" fillId="8" borderId="1" xfId="0" applyFont="1" applyFill="1" applyBorder="1" applyAlignment="1">
      <alignment wrapText="1"/>
    </xf>
    <xf numFmtId="0" fontId="0" fillId="8" borderId="1" xfId="0" applyFill="1" applyBorder="1"/>
    <xf numFmtId="0" fontId="11" fillId="8" borderId="0" xfId="0" applyFont="1" applyFill="1" applyAlignment="1">
      <alignment vertical="center" wrapText="1"/>
    </xf>
    <xf numFmtId="0" fontId="3" fillId="9" borderId="3" xfId="0" applyFont="1" applyFill="1" applyBorder="1" applyAlignment="1">
      <alignment horizontal="center" vertical="top"/>
    </xf>
    <xf numFmtId="0" fontId="3" fillId="9" borderId="7" xfId="0" applyFont="1" applyFill="1" applyBorder="1" applyAlignment="1">
      <alignment horizontal="center" vertical="top"/>
    </xf>
    <xf numFmtId="0" fontId="3" fillId="9" borderId="6" xfId="0" applyFont="1" applyFill="1" applyBorder="1" applyAlignment="1">
      <alignment horizontal="center" vertical="top"/>
    </xf>
    <xf numFmtId="164" fontId="0" fillId="4" borderId="1" xfId="1" applyNumberFormat="1" applyFont="1" applyFill="1" applyBorder="1"/>
    <xf numFmtId="164" fontId="0" fillId="4" borderId="1" xfId="0" applyNumberFormat="1" applyFill="1" applyBorder="1"/>
    <xf numFmtId="164" fontId="0" fillId="4" borderId="5" xfId="0" applyNumberFormat="1" applyFill="1" applyBorder="1"/>
    <xf numFmtId="164" fontId="0" fillId="4" borderId="24" xfId="0" applyNumberFormat="1" applyFill="1" applyBorder="1"/>
    <xf numFmtId="164" fontId="0" fillId="9" borderId="1" xfId="0" applyNumberFormat="1" applyFill="1" applyBorder="1"/>
    <xf numFmtId="164" fontId="9" fillId="9" borderId="1" xfId="0" applyNumberFormat="1" applyFont="1" applyFill="1" applyBorder="1"/>
    <xf numFmtId="0" fontId="4" fillId="9" borderId="3" xfId="0" applyFont="1" applyFill="1" applyBorder="1" applyAlignment="1">
      <alignment horizontal="center"/>
    </xf>
    <xf numFmtId="0" fontId="4" fillId="9" borderId="7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5" fillId="9" borderId="3" xfId="0" applyFont="1" applyFill="1" applyBorder="1"/>
    <xf numFmtId="0" fontId="5" fillId="9" borderId="7" xfId="0" applyFont="1" applyFill="1" applyBorder="1"/>
    <xf numFmtId="0" fontId="5" fillId="9" borderId="6" xfId="0" applyFont="1" applyFill="1" applyBorder="1"/>
    <xf numFmtId="164" fontId="9" fillId="9" borderId="11" xfId="0" applyNumberFormat="1" applyFont="1" applyFill="1" applyBorder="1"/>
    <xf numFmtId="164" fontId="9" fillId="9" borderId="0" xfId="0" applyNumberFormat="1" applyFont="1" applyFill="1"/>
    <xf numFmtId="164" fontId="5" fillId="9" borderId="3" xfId="0" applyNumberFormat="1" applyFont="1" applyFill="1" applyBorder="1"/>
    <xf numFmtId="0" fontId="2" fillId="10" borderId="1" xfId="0" applyFont="1" applyFill="1" applyBorder="1"/>
    <xf numFmtId="0" fontId="2" fillId="10" borderId="0" xfId="0" applyFont="1" applyFill="1"/>
    <xf numFmtId="0" fontId="2" fillId="10" borderId="8" xfId="0" applyFont="1" applyFill="1" applyBorder="1"/>
    <xf numFmtId="0" fontId="0" fillId="4" borderId="2" xfId="0" applyFill="1" applyBorder="1" applyAlignment="1">
      <alignment horizontal="center"/>
    </xf>
    <xf numFmtId="164" fontId="0" fillId="4" borderId="4" xfId="0" applyNumberFormat="1" applyFill="1" applyBorder="1"/>
    <xf numFmtId="0" fontId="0" fillId="10" borderId="1" xfId="0" applyFill="1" applyBorder="1"/>
    <xf numFmtId="0" fontId="10" fillId="11" borderId="1" xfId="0" applyFont="1" applyFill="1" applyBorder="1"/>
    <xf numFmtId="0" fontId="12" fillId="12" borderId="2" xfId="0" applyFont="1" applyFill="1" applyBorder="1"/>
    <xf numFmtId="164" fontId="12" fillId="4" borderId="1" xfId="0" applyNumberFormat="1" applyFont="1" applyFill="1" applyBorder="1"/>
    <xf numFmtId="164" fontId="0" fillId="4" borderId="12" xfId="0" applyNumberFormat="1" applyFill="1" applyBorder="1"/>
    <xf numFmtId="164" fontId="9" fillId="9" borderId="7" xfId="0" applyNumberFormat="1" applyFont="1" applyFill="1" applyBorder="1"/>
    <xf numFmtId="0" fontId="2" fillId="10" borderId="2" xfId="0" applyFont="1" applyFill="1" applyBorder="1"/>
    <xf numFmtId="0" fontId="2" fillId="10" borderId="10" xfId="0" applyFont="1" applyFill="1" applyBorder="1"/>
    <xf numFmtId="0" fontId="2" fillId="10" borderId="12" xfId="0" applyFont="1" applyFill="1" applyBorder="1"/>
    <xf numFmtId="164" fontId="9" fillId="9" borderId="4" xfId="0" applyNumberFormat="1" applyFont="1" applyFill="1" applyBorder="1"/>
    <xf numFmtId="164" fontId="13" fillId="7" borderId="0" xfId="0" applyNumberFormat="1" applyFont="1" applyFill="1" applyAlignment="1">
      <alignment horizontal="center"/>
    </xf>
    <xf numFmtId="0" fontId="9" fillId="9" borderId="12" xfId="0" applyFont="1" applyFill="1" applyBorder="1"/>
    <xf numFmtId="0" fontId="0" fillId="0" borderId="4" xfId="0" applyBorder="1"/>
    <xf numFmtId="0" fontId="0" fillId="0" borderId="5" xfId="0" applyBorder="1"/>
    <xf numFmtId="0" fontId="0" fillId="10" borderId="23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3" fillId="9" borderId="23" xfId="0" applyFont="1" applyFill="1" applyBorder="1" applyAlignment="1">
      <alignment horizontal="center" vertical="top"/>
    </xf>
    <xf numFmtId="0" fontId="3" fillId="9" borderId="0" xfId="0" applyFont="1" applyFill="1" applyAlignment="1">
      <alignment horizontal="center" vertical="top"/>
    </xf>
    <xf numFmtId="0" fontId="0" fillId="4" borderId="1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7" fillId="6" borderId="25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164" fontId="8" fillId="7" borderId="25" xfId="0" applyNumberFormat="1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/>
    </xf>
    <xf numFmtId="0" fontId="9" fillId="5" borderId="22" xfId="0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6" borderId="0" xfId="0" applyFont="1" applyFill="1" applyAlignment="1">
      <alignment horizontal="center" vertical="center"/>
    </xf>
    <xf numFmtId="0" fontId="0" fillId="10" borderId="1" xfId="0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94DCF8"/>
      <color rgb="FF34BAF0"/>
      <color rgb="FFD4EE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71893-C518-4FB7-AAC0-7AEE7D668DF8}">
  <sheetPr>
    <tabColor rgb="FF00B0F0"/>
  </sheetPr>
  <dimension ref="B2:I35"/>
  <sheetViews>
    <sheetView tabSelected="1" zoomScale="115" zoomScaleNormal="115" workbookViewId="0">
      <selection activeCell="E16" sqref="E16"/>
    </sheetView>
  </sheetViews>
  <sheetFormatPr baseColWidth="10" defaultRowHeight="14.4" x14ac:dyDescent="0.3"/>
  <cols>
    <col min="2" max="2" width="23.33203125" customWidth="1"/>
    <col min="3" max="3" width="45.21875" bestFit="1" customWidth="1"/>
    <col min="4" max="4" width="17" bestFit="1" customWidth="1"/>
    <col min="5" max="5" width="34.88671875" customWidth="1"/>
    <col min="6" max="6" width="17.5546875" bestFit="1" customWidth="1"/>
  </cols>
  <sheetData>
    <row r="2" spans="2:9" ht="28.8" x14ac:dyDescent="0.3">
      <c r="B2" s="18" t="s">
        <v>0</v>
      </c>
      <c r="C2" s="19" t="s">
        <v>3</v>
      </c>
      <c r="D2" s="18" t="s">
        <v>1</v>
      </c>
      <c r="E2" s="18" t="s">
        <v>21</v>
      </c>
      <c r="F2" s="20" t="s">
        <v>4</v>
      </c>
      <c r="G2" s="57" t="s">
        <v>170</v>
      </c>
      <c r="H2" s="58"/>
      <c r="I2" s="58"/>
    </row>
    <row r="3" spans="2:9" ht="15.6" x14ac:dyDescent="0.3">
      <c r="B3" s="14" t="s">
        <v>5</v>
      </c>
      <c r="C3" s="14" t="s">
        <v>14</v>
      </c>
      <c r="D3" s="9">
        <v>2</v>
      </c>
      <c r="E3" s="21">
        <v>1921</v>
      </c>
      <c r="F3" s="22">
        <f>D3*E3</f>
        <v>3842</v>
      </c>
      <c r="G3" s="55" t="s">
        <v>172</v>
      </c>
      <c r="H3" s="56"/>
      <c r="I3" s="56"/>
    </row>
    <row r="4" spans="2:9" ht="15.6" x14ac:dyDescent="0.3">
      <c r="B4" s="14" t="s">
        <v>6</v>
      </c>
      <c r="C4" s="14" t="s">
        <v>15</v>
      </c>
      <c r="D4" s="9">
        <v>1</v>
      </c>
      <c r="E4" s="21">
        <v>84.57</v>
      </c>
      <c r="F4" s="22">
        <f t="shared" ref="F4:F13" si="0">D4*E4</f>
        <v>84.57</v>
      </c>
      <c r="G4" s="55" t="s">
        <v>171</v>
      </c>
      <c r="H4" s="56"/>
      <c r="I4" s="56"/>
    </row>
    <row r="5" spans="2:9" ht="15.6" x14ac:dyDescent="0.3">
      <c r="B5" s="14" t="s">
        <v>7</v>
      </c>
      <c r="C5" s="15" t="s">
        <v>166</v>
      </c>
      <c r="D5" s="9">
        <v>1</v>
      </c>
      <c r="E5" s="21">
        <v>2043</v>
      </c>
      <c r="F5" s="22">
        <f t="shared" si="0"/>
        <v>2043</v>
      </c>
      <c r="G5" s="55" t="s">
        <v>173</v>
      </c>
      <c r="H5" s="56"/>
      <c r="I5" s="56"/>
    </row>
    <row r="6" spans="2:9" ht="15.6" x14ac:dyDescent="0.3">
      <c r="B6" s="14" t="s">
        <v>8</v>
      </c>
      <c r="C6" s="14" t="s">
        <v>16</v>
      </c>
      <c r="D6" s="9">
        <v>2</v>
      </c>
      <c r="E6" s="21">
        <v>3437.9</v>
      </c>
      <c r="F6" s="22">
        <f t="shared" si="0"/>
        <v>6875.8</v>
      </c>
      <c r="G6" s="55" t="s">
        <v>174</v>
      </c>
      <c r="H6" s="56"/>
      <c r="I6" s="56"/>
    </row>
    <row r="7" spans="2:9" ht="15.6" x14ac:dyDescent="0.3">
      <c r="B7" s="16" t="s">
        <v>9</v>
      </c>
      <c r="C7" s="14" t="s">
        <v>17</v>
      </c>
      <c r="D7" s="9">
        <v>1</v>
      </c>
      <c r="E7" s="21">
        <v>1299.99</v>
      </c>
      <c r="F7" s="22">
        <f t="shared" si="0"/>
        <v>1299.99</v>
      </c>
      <c r="G7" s="55" t="s">
        <v>179</v>
      </c>
      <c r="H7" s="56"/>
      <c r="I7" s="56"/>
    </row>
    <row r="8" spans="2:9" ht="15.6" x14ac:dyDescent="0.3">
      <c r="B8" s="16" t="s">
        <v>10</v>
      </c>
      <c r="C8" s="14" t="s">
        <v>18</v>
      </c>
      <c r="D8" s="9">
        <v>1</v>
      </c>
      <c r="E8" s="21">
        <v>6525</v>
      </c>
      <c r="F8" s="22">
        <f t="shared" si="0"/>
        <v>6525</v>
      </c>
    </row>
    <row r="9" spans="2:9" ht="15.6" x14ac:dyDescent="0.3">
      <c r="B9" s="14" t="s">
        <v>11</v>
      </c>
      <c r="C9" s="14" t="s">
        <v>19</v>
      </c>
      <c r="D9" s="9">
        <v>1</v>
      </c>
      <c r="E9" s="21">
        <v>699</v>
      </c>
      <c r="F9" s="22">
        <f t="shared" si="0"/>
        <v>699</v>
      </c>
    </row>
    <row r="10" spans="2:9" ht="15.6" x14ac:dyDescent="0.3">
      <c r="B10" s="16" t="s">
        <v>13</v>
      </c>
      <c r="C10" s="14" t="s">
        <v>20</v>
      </c>
      <c r="D10" s="9">
        <v>1</v>
      </c>
      <c r="E10" s="21">
        <v>408.64</v>
      </c>
      <c r="F10" s="22">
        <f t="shared" si="0"/>
        <v>408.64</v>
      </c>
    </row>
    <row r="11" spans="2:9" ht="15.6" x14ac:dyDescent="0.3">
      <c r="B11" s="16" t="s">
        <v>12</v>
      </c>
      <c r="C11" s="14" t="s">
        <v>22</v>
      </c>
      <c r="D11" s="9">
        <v>1</v>
      </c>
      <c r="E11" s="21">
        <v>626.82000000000005</v>
      </c>
      <c r="F11" s="22">
        <f t="shared" si="0"/>
        <v>626.82000000000005</v>
      </c>
    </row>
    <row r="12" spans="2:9" ht="15.6" x14ac:dyDescent="0.3">
      <c r="B12" s="14" t="s">
        <v>183</v>
      </c>
      <c r="C12" s="17" t="s">
        <v>184</v>
      </c>
      <c r="D12" s="9">
        <v>3</v>
      </c>
      <c r="E12" s="22">
        <v>404.5</v>
      </c>
      <c r="F12" s="22">
        <f t="shared" si="0"/>
        <v>1213.5</v>
      </c>
    </row>
    <row r="13" spans="2:9" ht="15.6" x14ac:dyDescent="0.3">
      <c r="B13" s="14" t="s">
        <v>177</v>
      </c>
      <c r="C13" s="14" t="s">
        <v>71</v>
      </c>
      <c r="D13" s="9">
        <v>2</v>
      </c>
      <c r="E13" s="23">
        <v>2194</v>
      </c>
      <c r="F13" s="24">
        <f t="shared" si="0"/>
        <v>4388</v>
      </c>
      <c r="G13" s="5"/>
    </row>
    <row r="14" spans="2:9" x14ac:dyDescent="0.3">
      <c r="F14" s="26">
        <f>SUM(F3:F13)</f>
        <v>28006.32</v>
      </c>
    </row>
    <row r="19" spans="2:5" x14ac:dyDescent="0.3">
      <c r="D19" s="12"/>
      <c r="E19" s="12"/>
    </row>
    <row r="20" spans="2:5" x14ac:dyDescent="0.3">
      <c r="B20" s="63" t="s">
        <v>148</v>
      </c>
      <c r="C20" s="64"/>
      <c r="D20" s="67">
        <f>SUM('TELCOM ROOM'!F14,LOBBY!F11,ASCENSORES!F6,HABITACIONES!F12,'SALON DE EVENTOS Y CONFI'!F11,PARQUEADERO!F7,'OFI ADMINISTRATIVAS'!F13,'Cuarto de Mantenimiento e Ing'!F12,'CUARTO DE EQUIPOS'!F21,VARIOS!I56)</f>
        <v>302364.15999999997</v>
      </c>
      <c r="E20" s="68"/>
    </row>
    <row r="21" spans="2:5" x14ac:dyDescent="0.3">
      <c r="B21" s="65"/>
      <c r="C21" s="66"/>
      <c r="D21" s="69"/>
      <c r="E21" s="70"/>
    </row>
    <row r="27" spans="2:5" ht="15" thickBot="1" x14ac:dyDescent="0.35"/>
    <row r="28" spans="2:5" ht="15" thickBot="1" x14ac:dyDescent="0.35">
      <c r="B28" s="11" t="s">
        <v>154</v>
      </c>
      <c r="C28" s="71" t="s">
        <v>155</v>
      </c>
      <c r="D28" s="71"/>
      <c r="E28" s="72"/>
    </row>
    <row r="29" spans="2:5" x14ac:dyDescent="0.3">
      <c r="B29" s="7" t="s">
        <v>156</v>
      </c>
      <c r="C29" s="73" t="s">
        <v>167</v>
      </c>
      <c r="D29" s="73"/>
      <c r="E29" s="74"/>
    </row>
    <row r="30" spans="2:5" x14ac:dyDescent="0.3">
      <c r="B30" s="8">
        <v>1</v>
      </c>
      <c r="C30" s="61" t="s">
        <v>185</v>
      </c>
      <c r="D30" s="61"/>
      <c r="E30" s="62"/>
    </row>
    <row r="31" spans="2:5" x14ac:dyDescent="0.3">
      <c r="B31" s="8">
        <v>2</v>
      </c>
      <c r="C31" s="61" t="s">
        <v>158</v>
      </c>
      <c r="D31" s="61"/>
      <c r="E31" s="62"/>
    </row>
    <row r="32" spans="2:5" x14ac:dyDescent="0.3">
      <c r="B32" s="8">
        <v>3</v>
      </c>
      <c r="C32" s="61" t="s">
        <v>160</v>
      </c>
      <c r="D32" s="61"/>
      <c r="E32" s="62"/>
    </row>
    <row r="33" spans="2:5" x14ac:dyDescent="0.3">
      <c r="B33" s="8">
        <v>4</v>
      </c>
      <c r="C33" s="61" t="s">
        <v>176</v>
      </c>
      <c r="D33" s="61"/>
      <c r="E33" s="62"/>
    </row>
    <row r="34" spans="2:5" x14ac:dyDescent="0.3">
      <c r="B34" s="8">
        <v>5</v>
      </c>
      <c r="C34" s="61" t="s">
        <v>159</v>
      </c>
      <c r="D34" s="61"/>
      <c r="E34" s="62"/>
    </row>
    <row r="35" spans="2:5" ht="15" thickBot="1" x14ac:dyDescent="0.35">
      <c r="B35" s="10" t="s">
        <v>175</v>
      </c>
      <c r="C35" s="59" t="s">
        <v>157</v>
      </c>
      <c r="D35" s="59"/>
      <c r="E35" s="60"/>
    </row>
  </sheetData>
  <mergeCells count="16">
    <mergeCell ref="B20:C21"/>
    <mergeCell ref="D20:E21"/>
    <mergeCell ref="C28:E28"/>
    <mergeCell ref="C29:E29"/>
    <mergeCell ref="C34:E34"/>
    <mergeCell ref="C35:E35"/>
    <mergeCell ref="C30:E30"/>
    <mergeCell ref="C31:E31"/>
    <mergeCell ref="C32:E32"/>
    <mergeCell ref="C33:E33"/>
    <mergeCell ref="G7:I7"/>
    <mergeCell ref="G2:I2"/>
    <mergeCell ref="G3:I3"/>
    <mergeCell ref="G4:I4"/>
    <mergeCell ref="G5:I5"/>
    <mergeCell ref="G6:I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AB6A6-D75E-42F0-816D-7673E4021871}">
  <sheetPr>
    <tabColor rgb="FF00B050"/>
  </sheetPr>
  <dimension ref="B2:F11"/>
  <sheetViews>
    <sheetView zoomScale="145" zoomScaleNormal="145" workbookViewId="0">
      <selection activeCell="C11" sqref="C11"/>
    </sheetView>
  </sheetViews>
  <sheetFormatPr baseColWidth="10" defaultRowHeight="14.4" x14ac:dyDescent="0.3"/>
  <cols>
    <col min="2" max="2" width="31.109375" bestFit="1" customWidth="1"/>
    <col min="3" max="3" width="36.6640625" bestFit="1" customWidth="1"/>
  </cols>
  <sheetData>
    <row r="2" spans="2:6" ht="15.6" x14ac:dyDescent="0.3">
      <c r="B2" s="27" t="s">
        <v>0</v>
      </c>
      <c r="C2" s="28" t="s">
        <v>3</v>
      </c>
      <c r="D2" s="27" t="s">
        <v>1</v>
      </c>
      <c r="E2" s="27" t="s">
        <v>2</v>
      </c>
      <c r="F2" s="29" t="s">
        <v>4</v>
      </c>
    </row>
    <row r="3" spans="2:6" ht="15.6" x14ac:dyDescent="0.3">
      <c r="B3" s="36" t="s">
        <v>23</v>
      </c>
      <c r="C3" s="41" t="s">
        <v>30</v>
      </c>
      <c r="D3" s="13">
        <v>1</v>
      </c>
      <c r="E3" s="22">
        <v>250</v>
      </c>
      <c r="F3" s="22">
        <f>D3*E3</f>
        <v>250</v>
      </c>
    </row>
    <row r="4" spans="2:6" ht="15.6" x14ac:dyDescent="0.3">
      <c r="B4" s="36" t="s">
        <v>24</v>
      </c>
      <c r="C4" s="36" t="s">
        <v>31</v>
      </c>
      <c r="D4" s="13">
        <v>4</v>
      </c>
      <c r="E4" s="22">
        <v>469.95</v>
      </c>
      <c r="F4" s="22">
        <f t="shared" ref="F4:F9" si="0">D4*E4</f>
        <v>1879.8</v>
      </c>
    </row>
    <row r="5" spans="2:6" ht="15.6" x14ac:dyDescent="0.3">
      <c r="B5" s="36" t="s">
        <v>25</v>
      </c>
      <c r="C5" s="36" t="s">
        <v>32</v>
      </c>
      <c r="D5" s="13">
        <v>3</v>
      </c>
      <c r="E5" s="22">
        <v>888.56</v>
      </c>
      <c r="F5" s="22">
        <f t="shared" si="0"/>
        <v>2665.68</v>
      </c>
    </row>
    <row r="6" spans="2:6" ht="15.6" x14ac:dyDescent="0.3">
      <c r="B6" s="36" t="s">
        <v>26</v>
      </c>
      <c r="C6" s="36" t="s">
        <v>33</v>
      </c>
      <c r="D6" s="13">
        <v>2</v>
      </c>
      <c r="E6" s="22">
        <v>2739.99</v>
      </c>
      <c r="F6" s="22">
        <f t="shared" si="0"/>
        <v>5479.98</v>
      </c>
    </row>
    <row r="7" spans="2:6" ht="15.6" x14ac:dyDescent="0.3">
      <c r="B7" s="36" t="s">
        <v>27</v>
      </c>
      <c r="C7" s="36" t="s">
        <v>34</v>
      </c>
      <c r="D7" s="13">
        <v>6</v>
      </c>
      <c r="E7" s="22">
        <v>240</v>
      </c>
      <c r="F7" s="22">
        <f t="shared" si="0"/>
        <v>1440</v>
      </c>
    </row>
    <row r="8" spans="2:6" ht="15.6" x14ac:dyDescent="0.3">
      <c r="B8" s="36" t="s">
        <v>28</v>
      </c>
      <c r="C8" s="36" t="s">
        <v>35</v>
      </c>
      <c r="D8" s="13">
        <v>4</v>
      </c>
      <c r="E8" s="22">
        <v>682.49</v>
      </c>
      <c r="F8" s="22">
        <f t="shared" si="0"/>
        <v>2729.96</v>
      </c>
    </row>
    <row r="9" spans="2:6" ht="15.6" x14ac:dyDescent="0.3">
      <c r="B9" s="36" t="s">
        <v>29</v>
      </c>
      <c r="C9" s="36" t="s">
        <v>36</v>
      </c>
      <c r="D9" s="13">
        <v>3</v>
      </c>
      <c r="E9" s="22">
        <v>53.43</v>
      </c>
      <c r="F9" s="22">
        <f t="shared" si="0"/>
        <v>160.29</v>
      </c>
    </row>
    <row r="10" spans="2:6" ht="15.6" x14ac:dyDescent="0.3">
      <c r="B10" s="41" t="s">
        <v>177</v>
      </c>
      <c r="C10" s="42" t="s">
        <v>71</v>
      </c>
      <c r="D10" s="43">
        <v>2</v>
      </c>
      <c r="E10" s="44">
        <v>2194</v>
      </c>
      <c r="F10" s="22">
        <f>E10*D10</f>
        <v>4388</v>
      </c>
    </row>
    <row r="11" spans="2:6" x14ac:dyDescent="0.3">
      <c r="F11" s="46">
        <f>SUM(F3:F10)</f>
        <v>18993.71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FA922-601C-4B1C-88FD-FD7E6F903436}">
  <sheetPr>
    <tabColor rgb="FF00B0F0"/>
  </sheetPr>
  <dimension ref="B2:J7"/>
  <sheetViews>
    <sheetView zoomScaleNormal="100" workbookViewId="0">
      <selection activeCell="C18" sqref="C18"/>
    </sheetView>
  </sheetViews>
  <sheetFormatPr baseColWidth="10" defaultRowHeight="14.4" x14ac:dyDescent="0.3"/>
  <cols>
    <col min="2" max="2" width="37.77734375" bestFit="1" customWidth="1"/>
    <col min="3" max="3" width="55.44140625" customWidth="1"/>
  </cols>
  <sheetData>
    <row r="2" spans="2:10" ht="15.6" x14ac:dyDescent="0.3">
      <c r="B2" s="27" t="s">
        <v>0</v>
      </c>
      <c r="C2" s="28" t="s">
        <v>3</v>
      </c>
      <c r="D2" s="27" t="s">
        <v>1</v>
      </c>
      <c r="E2" s="27" t="s">
        <v>2</v>
      </c>
      <c r="F2" s="29" t="s">
        <v>4</v>
      </c>
      <c r="H2" s="77" t="s">
        <v>172</v>
      </c>
      <c r="I2" s="78"/>
      <c r="J2" s="78"/>
    </row>
    <row r="3" spans="2:10" ht="15.6" x14ac:dyDescent="0.3">
      <c r="B3" s="36" t="s">
        <v>37</v>
      </c>
      <c r="C3" s="36" t="s">
        <v>38</v>
      </c>
      <c r="D3" s="13">
        <v>4</v>
      </c>
      <c r="E3" s="22">
        <v>44.99</v>
      </c>
      <c r="F3" s="22">
        <f t="shared" ref="F3" si="0">D3*E3</f>
        <v>179.96</v>
      </c>
      <c r="H3" s="77" t="s">
        <v>171</v>
      </c>
      <c r="I3" s="78"/>
      <c r="J3" s="78"/>
    </row>
    <row r="4" spans="2:10" ht="15.6" x14ac:dyDescent="0.3">
      <c r="B4" s="47" t="s">
        <v>151</v>
      </c>
      <c r="C4" s="37" t="s">
        <v>152</v>
      </c>
      <c r="D4" s="13">
        <v>2</v>
      </c>
      <c r="E4" s="22">
        <v>53.43</v>
      </c>
      <c r="F4" s="22">
        <f>D4*E4</f>
        <v>106.86</v>
      </c>
      <c r="H4" s="77" t="s">
        <v>178</v>
      </c>
      <c r="I4" s="78"/>
      <c r="J4" s="78"/>
    </row>
    <row r="5" spans="2:10" ht="15.6" x14ac:dyDescent="0.3">
      <c r="B5" s="48" t="s">
        <v>153</v>
      </c>
      <c r="C5" s="49" t="s">
        <v>35</v>
      </c>
      <c r="D5" s="13">
        <v>2</v>
      </c>
      <c r="E5" s="22">
        <v>53.43</v>
      </c>
      <c r="F5" s="22">
        <f>D5*E5</f>
        <v>106.86</v>
      </c>
      <c r="H5" s="77" t="s">
        <v>174</v>
      </c>
      <c r="I5" s="78"/>
      <c r="J5" s="78"/>
    </row>
    <row r="6" spans="2:10" x14ac:dyDescent="0.3">
      <c r="F6" s="25">
        <f>SUM(F3:F5)</f>
        <v>393.68</v>
      </c>
      <c r="H6" s="75" t="s">
        <v>182</v>
      </c>
      <c r="I6" s="76"/>
      <c r="J6" s="76"/>
    </row>
    <row r="7" spans="2:10" x14ac:dyDescent="0.3">
      <c r="H7" s="75" t="s">
        <v>179</v>
      </c>
      <c r="I7" s="76"/>
      <c r="J7" s="76"/>
    </row>
  </sheetData>
  <mergeCells count="6">
    <mergeCell ref="H7:J7"/>
    <mergeCell ref="H6:J6"/>
    <mergeCell ref="H2:J2"/>
    <mergeCell ref="H3:J3"/>
    <mergeCell ref="H4:J4"/>
    <mergeCell ref="H5:J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229D0-9568-4DD8-B1D0-26C386F37A4A}">
  <sheetPr>
    <tabColor rgb="FF00B050"/>
  </sheetPr>
  <dimension ref="B2:G12"/>
  <sheetViews>
    <sheetView zoomScale="160" zoomScaleNormal="160" workbookViewId="0">
      <selection activeCell="G3" sqref="G3:G11"/>
    </sheetView>
  </sheetViews>
  <sheetFormatPr baseColWidth="10" defaultRowHeight="14.4" x14ac:dyDescent="0.3"/>
  <cols>
    <col min="2" max="2" width="32.21875" bestFit="1" customWidth="1"/>
    <col min="3" max="3" width="36.6640625" bestFit="1" customWidth="1"/>
    <col min="6" max="6" width="12" bestFit="1" customWidth="1"/>
  </cols>
  <sheetData>
    <row r="2" spans="2:7" ht="15.6" x14ac:dyDescent="0.3">
      <c r="B2" s="27" t="s">
        <v>0</v>
      </c>
      <c r="C2" s="28" t="s">
        <v>3</v>
      </c>
      <c r="D2" s="27" t="s">
        <v>1</v>
      </c>
      <c r="E2" s="27" t="s">
        <v>2</v>
      </c>
      <c r="F2" s="29" t="s">
        <v>4</v>
      </c>
      <c r="G2" s="12"/>
    </row>
    <row r="3" spans="2:7" ht="15.6" x14ac:dyDescent="0.3">
      <c r="B3" s="36" t="s">
        <v>23</v>
      </c>
      <c r="C3" s="41" t="s">
        <v>30</v>
      </c>
      <c r="D3" s="13">
        <v>30</v>
      </c>
      <c r="E3" s="22">
        <v>250</v>
      </c>
      <c r="F3" s="22">
        <f>D3*E3</f>
        <v>7500</v>
      </c>
      <c r="G3" s="53" t="s">
        <v>163</v>
      </c>
    </row>
    <row r="4" spans="2:7" ht="15.6" x14ac:dyDescent="0.3">
      <c r="B4" s="36" t="s">
        <v>24</v>
      </c>
      <c r="C4" s="36" t="s">
        <v>31</v>
      </c>
      <c r="D4" s="13">
        <v>50</v>
      </c>
      <c r="E4" s="22">
        <v>469.95</v>
      </c>
      <c r="F4" s="22">
        <f t="shared" ref="F4:F7" si="0">D4*E4</f>
        <v>23497.5</v>
      </c>
      <c r="G4" s="54" t="s">
        <v>164</v>
      </c>
    </row>
    <row r="5" spans="2:7" ht="15.6" x14ac:dyDescent="0.3">
      <c r="B5" s="36" t="s">
        <v>39</v>
      </c>
      <c r="C5" s="36" t="s">
        <v>168</v>
      </c>
      <c r="D5" s="13">
        <v>50</v>
      </c>
      <c r="E5" s="22">
        <v>319.2</v>
      </c>
      <c r="F5" s="22">
        <f t="shared" si="0"/>
        <v>15960</v>
      </c>
      <c r="G5" s="54" t="s">
        <v>164</v>
      </c>
    </row>
    <row r="6" spans="2:7" ht="15.6" x14ac:dyDescent="0.3">
      <c r="B6" s="36" t="s">
        <v>40</v>
      </c>
      <c r="C6" s="36" t="s">
        <v>38</v>
      </c>
      <c r="D6" s="13">
        <v>50</v>
      </c>
      <c r="E6" s="22">
        <v>44.99</v>
      </c>
      <c r="F6" s="22">
        <f t="shared" si="0"/>
        <v>2249.5</v>
      </c>
      <c r="G6" s="54" t="s">
        <v>164</v>
      </c>
    </row>
    <row r="7" spans="2:7" ht="15.6" x14ac:dyDescent="0.3">
      <c r="B7" s="36" t="s">
        <v>28</v>
      </c>
      <c r="C7" s="36" t="s">
        <v>35</v>
      </c>
      <c r="D7" s="13">
        <v>50</v>
      </c>
      <c r="E7" s="22">
        <v>682.49</v>
      </c>
      <c r="F7" s="22">
        <f t="shared" si="0"/>
        <v>34124.5</v>
      </c>
      <c r="G7" s="54" t="s">
        <v>164</v>
      </c>
    </row>
    <row r="8" spans="2:7" ht="15.6" x14ac:dyDescent="0.3">
      <c r="B8" s="36" t="s">
        <v>41</v>
      </c>
      <c r="C8" s="36" t="s">
        <v>141</v>
      </c>
      <c r="D8" s="13">
        <v>250</v>
      </c>
      <c r="E8" s="21">
        <v>47.14</v>
      </c>
      <c r="F8" s="22">
        <f>D8*E8</f>
        <v>11785</v>
      </c>
      <c r="G8" s="54" t="s">
        <v>169</v>
      </c>
    </row>
    <row r="9" spans="2:7" ht="15.6" x14ac:dyDescent="0.3">
      <c r="B9" s="36" t="s">
        <v>29</v>
      </c>
      <c r="C9" s="36" t="s">
        <v>36</v>
      </c>
      <c r="D9" s="13">
        <v>30</v>
      </c>
      <c r="E9" s="22">
        <v>53.43</v>
      </c>
      <c r="F9" s="22">
        <f>D9*E9</f>
        <v>1602.9</v>
      </c>
      <c r="G9" s="54" t="s">
        <v>163</v>
      </c>
    </row>
    <row r="10" spans="2:7" ht="15.6" x14ac:dyDescent="0.3">
      <c r="B10" s="36" t="s">
        <v>27</v>
      </c>
      <c r="C10" s="36" t="s">
        <v>34</v>
      </c>
      <c r="D10" s="13">
        <v>40</v>
      </c>
      <c r="E10" s="22">
        <v>240</v>
      </c>
      <c r="F10" s="22">
        <f t="shared" ref="F10:F11" si="1">D10*E10</f>
        <v>9600</v>
      </c>
      <c r="G10" s="54" t="s">
        <v>165</v>
      </c>
    </row>
    <row r="11" spans="2:7" ht="15.6" x14ac:dyDescent="0.3">
      <c r="B11" s="36" t="s">
        <v>37</v>
      </c>
      <c r="C11" s="36" t="s">
        <v>38</v>
      </c>
      <c r="D11" s="13">
        <v>30</v>
      </c>
      <c r="E11" s="22">
        <v>44.99</v>
      </c>
      <c r="F11" s="22">
        <f t="shared" si="1"/>
        <v>1349.7</v>
      </c>
      <c r="G11" s="53" t="s">
        <v>163</v>
      </c>
    </row>
    <row r="12" spans="2:7" x14ac:dyDescent="0.3">
      <c r="F12" s="50">
        <f>SUM(F3:F11)</f>
        <v>107669.09999999999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C8ED2-A3D1-4DFD-BF63-B61D01A79949}">
  <sheetPr>
    <tabColor rgb="FF00B0F0"/>
  </sheetPr>
  <dimension ref="B2:F11"/>
  <sheetViews>
    <sheetView zoomScale="130" zoomScaleNormal="130" workbookViewId="0">
      <selection activeCell="C11" sqref="C11"/>
    </sheetView>
  </sheetViews>
  <sheetFormatPr baseColWidth="10" defaultRowHeight="14.4" x14ac:dyDescent="0.3"/>
  <cols>
    <col min="2" max="2" width="30.21875" bestFit="1" customWidth="1"/>
    <col min="3" max="3" width="44.44140625" bestFit="1" customWidth="1"/>
  </cols>
  <sheetData>
    <row r="2" spans="2:6" x14ac:dyDescent="0.3">
      <c r="B2" s="30" t="s">
        <v>0</v>
      </c>
      <c r="C2" s="31" t="s">
        <v>3</v>
      </c>
      <c r="D2" s="30" t="s">
        <v>1</v>
      </c>
      <c r="E2" s="30" t="s">
        <v>2</v>
      </c>
      <c r="F2" s="32" t="s">
        <v>4</v>
      </c>
    </row>
    <row r="3" spans="2:6" ht="15.6" x14ac:dyDescent="0.3">
      <c r="B3" s="36" t="s">
        <v>23</v>
      </c>
      <c r="C3" s="36" t="s">
        <v>42</v>
      </c>
      <c r="D3" s="13">
        <v>1</v>
      </c>
      <c r="E3" s="22">
        <v>250</v>
      </c>
      <c r="F3" s="22">
        <f>E3*D3</f>
        <v>250</v>
      </c>
    </row>
    <row r="4" spans="2:6" ht="15.6" x14ac:dyDescent="0.3">
      <c r="B4" s="36" t="s">
        <v>137</v>
      </c>
      <c r="C4" s="36" t="s">
        <v>139</v>
      </c>
      <c r="D4" s="13">
        <v>1</v>
      </c>
      <c r="E4" s="22">
        <v>7391</v>
      </c>
      <c r="F4" s="22">
        <f t="shared" ref="F4:F10" si="0">E4*D4</f>
        <v>7391</v>
      </c>
    </row>
    <row r="5" spans="2:6" ht="15.6" x14ac:dyDescent="0.3">
      <c r="B5" s="36" t="s">
        <v>138</v>
      </c>
      <c r="C5" s="36" t="s">
        <v>140</v>
      </c>
      <c r="D5" s="13">
        <v>1</v>
      </c>
      <c r="E5" s="13">
        <v>1865</v>
      </c>
      <c r="F5" s="22">
        <f t="shared" si="0"/>
        <v>1865</v>
      </c>
    </row>
    <row r="6" spans="2:6" ht="15.6" x14ac:dyDescent="0.3">
      <c r="B6" s="36" t="s">
        <v>43</v>
      </c>
      <c r="C6" s="36" t="s">
        <v>31</v>
      </c>
      <c r="D6" s="13">
        <v>4</v>
      </c>
      <c r="E6" s="22">
        <v>469.95</v>
      </c>
      <c r="F6" s="22">
        <f t="shared" si="0"/>
        <v>1879.8</v>
      </c>
    </row>
    <row r="7" spans="2:6" ht="15.6" x14ac:dyDescent="0.3">
      <c r="B7" s="36" t="s">
        <v>44</v>
      </c>
      <c r="C7" s="36" t="s">
        <v>45</v>
      </c>
      <c r="D7" s="13">
        <v>1</v>
      </c>
      <c r="E7" s="13">
        <v>2092.0500000000002</v>
      </c>
      <c r="F7" s="22">
        <f t="shared" si="0"/>
        <v>2092.0500000000002</v>
      </c>
    </row>
    <row r="8" spans="2:6" ht="15.6" x14ac:dyDescent="0.3">
      <c r="B8" s="36" t="s">
        <v>27</v>
      </c>
      <c r="C8" s="36" t="s">
        <v>46</v>
      </c>
      <c r="D8" s="13">
        <v>2</v>
      </c>
      <c r="E8" s="22">
        <v>240</v>
      </c>
      <c r="F8" s="22">
        <f t="shared" si="0"/>
        <v>480</v>
      </c>
    </row>
    <row r="9" spans="2:6" ht="15.6" x14ac:dyDescent="0.3">
      <c r="B9" s="36" t="s">
        <v>142</v>
      </c>
      <c r="C9" s="36" t="s">
        <v>144</v>
      </c>
      <c r="D9" s="13">
        <v>1</v>
      </c>
      <c r="E9" s="22">
        <v>59.99</v>
      </c>
      <c r="F9" s="22">
        <f t="shared" si="0"/>
        <v>59.99</v>
      </c>
    </row>
    <row r="10" spans="2:6" ht="16.2" thickBot="1" x14ac:dyDescent="0.35">
      <c r="B10" s="36" t="s">
        <v>143</v>
      </c>
      <c r="C10" s="36" t="s">
        <v>145</v>
      </c>
      <c r="D10" s="13">
        <v>1</v>
      </c>
      <c r="E10" s="13">
        <v>159.84</v>
      </c>
      <c r="F10" s="45">
        <f t="shared" si="0"/>
        <v>159.84</v>
      </c>
    </row>
    <row r="11" spans="2:6" ht="15" thickBot="1" x14ac:dyDescent="0.35">
      <c r="F11" s="33">
        <f>SUM(F3:F10)</f>
        <v>14177.679999999998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6BF76-F999-4B34-84B0-8F95CD3849C8}">
  <sheetPr>
    <tabColor rgb="FF00B050"/>
  </sheetPr>
  <dimension ref="B2:F7"/>
  <sheetViews>
    <sheetView zoomScale="145" zoomScaleNormal="145" workbookViewId="0">
      <selection activeCell="C9" sqref="C9"/>
    </sheetView>
  </sheetViews>
  <sheetFormatPr baseColWidth="10" defaultRowHeight="14.4" x14ac:dyDescent="0.3"/>
  <cols>
    <col min="2" max="2" width="40.109375" bestFit="1" customWidth="1"/>
    <col min="3" max="3" width="31.77734375" bestFit="1" customWidth="1"/>
  </cols>
  <sheetData>
    <row r="2" spans="2:6" x14ac:dyDescent="0.3">
      <c r="B2" s="30" t="s">
        <v>0</v>
      </c>
      <c r="C2" s="31" t="s">
        <v>3</v>
      </c>
      <c r="D2" s="30" t="s">
        <v>1</v>
      </c>
      <c r="E2" s="30" t="s">
        <v>2</v>
      </c>
      <c r="F2" s="32" t="s">
        <v>4</v>
      </c>
    </row>
    <row r="3" spans="2:6" ht="15.6" x14ac:dyDescent="0.3">
      <c r="B3" s="36" t="s">
        <v>47</v>
      </c>
      <c r="C3" s="37" t="s">
        <v>112</v>
      </c>
      <c r="D3" s="13">
        <v>1</v>
      </c>
      <c r="E3" s="22">
        <v>225.55</v>
      </c>
      <c r="F3" s="22">
        <f>E3*D3</f>
        <v>225.55</v>
      </c>
    </row>
    <row r="4" spans="2:6" ht="15.6" x14ac:dyDescent="0.3">
      <c r="B4" s="36" t="s">
        <v>48</v>
      </c>
      <c r="C4" s="36" t="s">
        <v>46</v>
      </c>
      <c r="D4" s="13">
        <v>3</v>
      </c>
      <c r="E4" s="22">
        <v>240</v>
      </c>
      <c r="F4" s="22">
        <f t="shared" ref="F4:F6" si="0">E4*D4</f>
        <v>720</v>
      </c>
    </row>
    <row r="5" spans="2:6" ht="15.6" x14ac:dyDescent="0.3">
      <c r="B5" s="36" t="s">
        <v>37</v>
      </c>
      <c r="C5" s="36" t="s">
        <v>38</v>
      </c>
      <c r="D5" s="13">
        <v>3</v>
      </c>
      <c r="E5" s="22">
        <v>44.99</v>
      </c>
      <c r="F5" s="22">
        <f t="shared" si="0"/>
        <v>134.97</v>
      </c>
    </row>
    <row r="6" spans="2:6" ht="15.6" x14ac:dyDescent="0.3">
      <c r="B6" s="36" t="s">
        <v>29</v>
      </c>
      <c r="C6" s="36" t="s">
        <v>36</v>
      </c>
      <c r="D6" s="13">
        <v>2</v>
      </c>
      <c r="E6" s="22">
        <v>53.43</v>
      </c>
      <c r="F6" s="22">
        <f t="shared" si="0"/>
        <v>106.86</v>
      </c>
    </row>
    <row r="7" spans="2:6" x14ac:dyDescent="0.3">
      <c r="F7" s="34">
        <f>SUM(F3:F6)</f>
        <v>1187.3799999999999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F13AB-FAC8-4F70-8F0D-C3A1299521B0}">
  <sheetPr>
    <tabColor rgb="FF00B0F0"/>
  </sheetPr>
  <dimension ref="B2:F13"/>
  <sheetViews>
    <sheetView zoomScale="145" zoomScaleNormal="145" workbookViewId="0">
      <selection activeCell="D3" sqref="D3:F12"/>
    </sheetView>
  </sheetViews>
  <sheetFormatPr baseColWidth="10" defaultRowHeight="14.4" x14ac:dyDescent="0.3"/>
  <cols>
    <col min="2" max="2" width="25.33203125" bestFit="1" customWidth="1"/>
    <col min="3" max="3" width="26.88671875" bestFit="1" customWidth="1"/>
  </cols>
  <sheetData>
    <row r="2" spans="2:6" x14ac:dyDescent="0.3">
      <c r="B2" s="30" t="s">
        <v>0</v>
      </c>
      <c r="C2" s="31" t="s">
        <v>3</v>
      </c>
      <c r="D2" s="30" t="s">
        <v>1</v>
      </c>
      <c r="E2" s="30" t="s">
        <v>2</v>
      </c>
      <c r="F2" s="32" t="s">
        <v>4</v>
      </c>
    </row>
    <row r="3" spans="2:6" ht="15.6" x14ac:dyDescent="0.3">
      <c r="B3" s="36" t="s">
        <v>49</v>
      </c>
      <c r="C3" s="36" t="s">
        <v>42</v>
      </c>
      <c r="D3" s="13">
        <v>1</v>
      </c>
      <c r="E3" s="22">
        <v>250</v>
      </c>
      <c r="F3" s="22">
        <f>E3*D3</f>
        <v>250</v>
      </c>
    </row>
    <row r="4" spans="2:6" ht="15.6" x14ac:dyDescent="0.3">
      <c r="B4" s="36" t="s">
        <v>5</v>
      </c>
      <c r="C4" s="36" t="s">
        <v>60</v>
      </c>
      <c r="D4" s="13">
        <v>1</v>
      </c>
      <c r="E4" s="22">
        <v>324.99</v>
      </c>
      <c r="F4" s="22">
        <f t="shared" ref="F4:F12" si="0">E4*D4</f>
        <v>324.99</v>
      </c>
    </row>
    <row r="5" spans="2:6" ht="15.6" x14ac:dyDescent="0.3">
      <c r="B5" s="36" t="s">
        <v>51</v>
      </c>
      <c r="C5" s="36" t="s">
        <v>61</v>
      </c>
      <c r="D5" s="13">
        <v>1</v>
      </c>
      <c r="E5" s="22">
        <v>159</v>
      </c>
      <c r="F5" s="22">
        <f t="shared" si="0"/>
        <v>159</v>
      </c>
    </row>
    <row r="6" spans="2:6" ht="15.6" x14ac:dyDescent="0.3">
      <c r="B6" s="36" t="s">
        <v>62</v>
      </c>
      <c r="C6" s="36" t="s">
        <v>53</v>
      </c>
      <c r="D6" s="13">
        <v>1</v>
      </c>
      <c r="E6" s="22">
        <v>654.54</v>
      </c>
      <c r="F6" s="22">
        <f t="shared" si="0"/>
        <v>654.54</v>
      </c>
    </row>
    <row r="7" spans="2:6" ht="15.6" x14ac:dyDescent="0.3">
      <c r="B7" s="36" t="s">
        <v>63</v>
      </c>
      <c r="C7" s="36" t="s">
        <v>64</v>
      </c>
      <c r="D7" s="13"/>
      <c r="E7" s="23"/>
      <c r="F7" s="22"/>
    </row>
    <row r="8" spans="2:6" ht="15.6" x14ac:dyDescent="0.3">
      <c r="B8" s="36" t="s">
        <v>65</v>
      </c>
      <c r="C8" s="36" t="s">
        <v>67</v>
      </c>
      <c r="D8" s="13">
        <v>4</v>
      </c>
      <c r="E8" s="23">
        <v>399.99</v>
      </c>
      <c r="F8" s="22">
        <f t="shared" si="0"/>
        <v>1599.96</v>
      </c>
    </row>
    <row r="9" spans="2:6" ht="15.6" x14ac:dyDescent="0.3">
      <c r="B9" s="36" t="s">
        <v>66</v>
      </c>
      <c r="C9" s="36" t="s">
        <v>68</v>
      </c>
      <c r="D9" s="13">
        <v>8</v>
      </c>
      <c r="E9" s="23">
        <v>98.94</v>
      </c>
      <c r="F9" s="22">
        <f t="shared" si="0"/>
        <v>791.52</v>
      </c>
    </row>
    <row r="10" spans="2:6" ht="15.6" x14ac:dyDescent="0.3">
      <c r="B10" s="36" t="s">
        <v>69</v>
      </c>
      <c r="C10" s="36" t="s">
        <v>71</v>
      </c>
      <c r="D10" s="13">
        <v>8</v>
      </c>
      <c r="E10" s="23">
        <v>2194</v>
      </c>
      <c r="F10" s="22">
        <f t="shared" si="0"/>
        <v>17552</v>
      </c>
    </row>
    <row r="11" spans="2:6" ht="15.6" x14ac:dyDescent="0.3">
      <c r="B11" s="36" t="s">
        <v>70</v>
      </c>
      <c r="C11" s="36" t="s">
        <v>72</v>
      </c>
      <c r="D11" s="13">
        <v>2</v>
      </c>
      <c r="E11" s="23">
        <v>779.99</v>
      </c>
      <c r="F11" s="22">
        <f t="shared" si="0"/>
        <v>1559.98</v>
      </c>
    </row>
    <row r="12" spans="2:6" ht="15.6" x14ac:dyDescent="0.3">
      <c r="B12" s="36" t="s">
        <v>27</v>
      </c>
      <c r="C12" s="36" t="s">
        <v>34</v>
      </c>
      <c r="D12" s="13">
        <v>6</v>
      </c>
      <c r="E12" s="22">
        <v>240</v>
      </c>
      <c r="F12" s="22">
        <f t="shared" si="0"/>
        <v>1440</v>
      </c>
    </row>
    <row r="13" spans="2:6" x14ac:dyDescent="0.3">
      <c r="F13" s="34">
        <f>SUM(F3:F12)</f>
        <v>24331.989999999998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14886-2EEC-4423-8681-9F54D0B0CC57}">
  <sheetPr>
    <tabColor rgb="FF00B050"/>
  </sheetPr>
  <dimension ref="B2:F12"/>
  <sheetViews>
    <sheetView zoomScale="97" zoomScaleNormal="97" workbookViewId="0">
      <selection activeCell="F12" sqref="F12"/>
    </sheetView>
  </sheetViews>
  <sheetFormatPr baseColWidth="10" defaultRowHeight="14.4" x14ac:dyDescent="0.3"/>
  <cols>
    <col min="2" max="2" width="26.44140625" bestFit="1" customWidth="1"/>
    <col min="3" max="3" width="52" bestFit="1" customWidth="1"/>
  </cols>
  <sheetData>
    <row r="2" spans="2:6" x14ac:dyDescent="0.3">
      <c r="B2" s="30" t="s">
        <v>0</v>
      </c>
      <c r="C2" s="31" t="s">
        <v>3</v>
      </c>
      <c r="D2" s="30" t="s">
        <v>1</v>
      </c>
      <c r="E2" s="30" t="s">
        <v>2</v>
      </c>
      <c r="F2" s="32" t="s">
        <v>4</v>
      </c>
    </row>
    <row r="3" spans="2:6" ht="15.6" x14ac:dyDescent="0.3">
      <c r="B3" s="36" t="s">
        <v>49</v>
      </c>
      <c r="C3" s="36" t="s">
        <v>146</v>
      </c>
      <c r="D3" s="13">
        <v>1</v>
      </c>
      <c r="E3" s="22">
        <v>2333.2199999999998</v>
      </c>
      <c r="F3" s="22">
        <f>E3*D3</f>
        <v>2333.2199999999998</v>
      </c>
    </row>
    <row r="4" spans="2:6" ht="15.6" x14ac:dyDescent="0.3">
      <c r="B4" s="36" t="s">
        <v>50</v>
      </c>
      <c r="C4" s="36" t="s">
        <v>147</v>
      </c>
      <c r="D4" s="13">
        <v>2</v>
      </c>
      <c r="E4" s="22">
        <v>597.07000000000005</v>
      </c>
      <c r="F4" s="22">
        <f t="shared" ref="F4:F11" si="0">E4*D4</f>
        <v>1194.1400000000001</v>
      </c>
    </row>
    <row r="5" spans="2:6" ht="15.6" x14ac:dyDescent="0.3">
      <c r="B5" s="36" t="s">
        <v>51</v>
      </c>
      <c r="C5" s="36" t="s">
        <v>52</v>
      </c>
      <c r="D5" s="13">
        <v>1</v>
      </c>
      <c r="E5" s="22">
        <v>179</v>
      </c>
      <c r="F5" s="22">
        <f t="shared" si="0"/>
        <v>179</v>
      </c>
    </row>
    <row r="6" spans="2:6" ht="15.6" x14ac:dyDescent="0.3">
      <c r="B6" s="36" t="s">
        <v>12</v>
      </c>
      <c r="C6" s="36" t="s">
        <v>53</v>
      </c>
      <c r="D6" s="13">
        <v>1</v>
      </c>
      <c r="E6" s="22">
        <v>654.54</v>
      </c>
      <c r="F6" s="22">
        <f t="shared" si="0"/>
        <v>654.54</v>
      </c>
    </row>
    <row r="7" spans="2:6" ht="15.6" x14ac:dyDescent="0.3">
      <c r="B7" s="36" t="s">
        <v>54</v>
      </c>
      <c r="C7" s="36" t="s">
        <v>57</v>
      </c>
      <c r="D7" s="13"/>
      <c r="E7" s="22"/>
      <c r="F7" s="22">
        <f t="shared" si="0"/>
        <v>0</v>
      </c>
    </row>
    <row r="8" spans="2:6" ht="15.6" x14ac:dyDescent="0.3">
      <c r="B8" s="36" t="s">
        <v>10</v>
      </c>
      <c r="C8" s="36" t="s">
        <v>18</v>
      </c>
      <c r="D8" s="13">
        <v>1</v>
      </c>
      <c r="E8" s="21">
        <v>6525</v>
      </c>
      <c r="F8" s="22">
        <f t="shared" si="0"/>
        <v>6525</v>
      </c>
    </row>
    <row r="9" spans="2:6" ht="15.6" x14ac:dyDescent="0.3">
      <c r="B9" s="36" t="s">
        <v>55</v>
      </c>
      <c r="C9" s="36" t="s">
        <v>56</v>
      </c>
      <c r="D9" s="13">
        <v>4</v>
      </c>
      <c r="E9" s="22">
        <v>175</v>
      </c>
      <c r="F9" s="22">
        <f t="shared" si="0"/>
        <v>700</v>
      </c>
    </row>
    <row r="10" spans="2:6" ht="15.6" x14ac:dyDescent="0.3">
      <c r="B10" s="36" t="s">
        <v>27</v>
      </c>
      <c r="C10" s="36" t="s">
        <v>34</v>
      </c>
      <c r="D10" s="13">
        <v>4</v>
      </c>
      <c r="E10" s="22">
        <v>240</v>
      </c>
      <c r="F10" s="22">
        <f t="shared" si="0"/>
        <v>960</v>
      </c>
    </row>
    <row r="11" spans="2:6" ht="15.6" x14ac:dyDescent="0.3">
      <c r="B11" s="36" t="s">
        <v>58</v>
      </c>
      <c r="C11" s="36" t="s">
        <v>59</v>
      </c>
      <c r="D11" s="13">
        <v>2</v>
      </c>
      <c r="E11" s="22">
        <v>44.99</v>
      </c>
      <c r="F11" s="22">
        <f t="shared" si="0"/>
        <v>89.98</v>
      </c>
    </row>
    <row r="12" spans="2:6" x14ac:dyDescent="0.3">
      <c r="F12" s="34">
        <f>SUM(F3:F11)</f>
        <v>12635.88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1DEF2-6586-44B8-AD61-E56E8D2C1530}">
  <sheetPr>
    <tabColor rgb="FF00B0F0"/>
  </sheetPr>
  <dimension ref="B2:F21"/>
  <sheetViews>
    <sheetView zoomScale="130" zoomScaleNormal="130" workbookViewId="0">
      <selection activeCell="G13" sqref="G13"/>
    </sheetView>
  </sheetViews>
  <sheetFormatPr baseColWidth="10" defaultRowHeight="14.4" x14ac:dyDescent="0.3"/>
  <cols>
    <col min="2" max="2" width="51.44140625" bestFit="1" customWidth="1"/>
    <col min="3" max="3" width="34.33203125" bestFit="1" customWidth="1"/>
  </cols>
  <sheetData>
    <row r="2" spans="2:6" x14ac:dyDescent="0.3">
      <c r="B2" s="30" t="s">
        <v>0</v>
      </c>
      <c r="C2" s="31" t="s">
        <v>3</v>
      </c>
      <c r="D2" s="30" t="s">
        <v>1</v>
      </c>
      <c r="E2" s="30" t="s">
        <v>2</v>
      </c>
      <c r="F2" s="32" t="s">
        <v>4</v>
      </c>
    </row>
    <row r="3" spans="2:6" ht="15.6" x14ac:dyDescent="0.3">
      <c r="B3" s="36" t="s">
        <v>73</v>
      </c>
      <c r="C3" s="36" t="s">
        <v>16</v>
      </c>
      <c r="D3" s="13">
        <v>3</v>
      </c>
      <c r="E3" s="22">
        <v>3050</v>
      </c>
      <c r="F3" s="22">
        <f>E3*D3</f>
        <v>9150</v>
      </c>
    </row>
    <row r="4" spans="2:6" ht="15.6" x14ac:dyDescent="0.3">
      <c r="B4" s="36" t="s">
        <v>74</v>
      </c>
      <c r="C4" s="36" t="s">
        <v>60</v>
      </c>
      <c r="D4" s="13">
        <v>1</v>
      </c>
      <c r="E4" s="22">
        <v>324.99</v>
      </c>
      <c r="F4" s="22">
        <f t="shared" ref="F4:F19" si="0">E4*D4</f>
        <v>324.99</v>
      </c>
    </row>
    <row r="5" spans="2:6" ht="15.6" x14ac:dyDescent="0.3">
      <c r="B5" s="36" t="s">
        <v>8</v>
      </c>
      <c r="C5" s="36" t="s">
        <v>75</v>
      </c>
      <c r="D5" s="13">
        <v>1</v>
      </c>
      <c r="E5" s="22">
        <v>249.99</v>
      </c>
      <c r="F5" s="22">
        <f t="shared" si="0"/>
        <v>249.99</v>
      </c>
    </row>
    <row r="6" spans="2:6" ht="15.6" x14ac:dyDescent="0.3">
      <c r="B6" s="36" t="s">
        <v>76</v>
      </c>
      <c r="C6" s="36" t="s">
        <v>77</v>
      </c>
      <c r="D6" s="13">
        <v>1</v>
      </c>
      <c r="E6" s="22">
        <v>565.99</v>
      </c>
      <c r="F6" s="22">
        <f t="shared" si="0"/>
        <v>565.99</v>
      </c>
    </row>
    <row r="7" spans="2:6" ht="15.6" x14ac:dyDescent="0.3">
      <c r="B7" s="36" t="s">
        <v>78</v>
      </c>
      <c r="C7" s="36" t="s">
        <v>79</v>
      </c>
      <c r="D7" s="13">
        <v>1</v>
      </c>
      <c r="E7" s="22">
        <v>1229.48</v>
      </c>
      <c r="F7" s="22">
        <f t="shared" si="0"/>
        <v>1229.48</v>
      </c>
    </row>
    <row r="8" spans="2:6" ht="15.6" x14ac:dyDescent="0.3">
      <c r="B8" s="36" t="s">
        <v>80</v>
      </c>
      <c r="C8" s="36" t="s">
        <v>81</v>
      </c>
      <c r="D8" s="13">
        <v>1</v>
      </c>
      <c r="E8" s="22">
        <v>9003</v>
      </c>
      <c r="F8" s="22">
        <f t="shared" si="0"/>
        <v>9003</v>
      </c>
    </row>
    <row r="9" spans="2:6" ht="15.6" x14ac:dyDescent="0.3">
      <c r="B9" s="36" t="s">
        <v>82</v>
      </c>
      <c r="C9" s="36" t="s">
        <v>83</v>
      </c>
      <c r="D9" s="13">
        <v>4</v>
      </c>
      <c r="E9" s="22">
        <v>240</v>
      </c>
      <c r="F9" s="22">
        <f t="shared" si="0"/>
        <v>960</v>
      </c>
    </row>
    <row r="10" spans="2:6" ht="15.6" x14ac:dyDescent="0.3">
      <c r="B10" s="36" t="s">
        <v>84</v>
      </c>
      <c r="C10" s="36" t="s">
        <v>85</v>
      </c>
      <c r="D10" s="13">
        <v>1</v>
      </c>
      <c r="E10" s="22">
        <v>89.99</v>
      </c>
      <c r="F10" s="22">
        <f t="shared" si="0"/>
        <v>89.99</v>
      </c>
    </row>
    <row r="11" spans="2:6" ht="15.6" x14ac:dyDescent="0.3">
      <c r="B11" s="36" t="s">
        <v>86</v>
      </c>
      <c r="C11" s="36" t="s">
        <v>161</v>
      </c>
      <c r="D11" s="13">
        <v>1</v>
      </c>
      <c r="E11" s="22">
        <v>1050</v>
      </c>
      <c r="F11" s="22">
        <f t="shared" si="0"/>
        <v>1050</v>
      </c>
    </row>
    <row r="12" spans="2:6" ht="15.6" x14ac:dyDescent="0.3">
      <c r="B12" s="36" t="s">
        <v>87</v>
      </c>
      <c r="C12" s="36" t="s">
        <v>88</v>
      </c>
      <c r="D12" s="13">
        <v>1</v>
      </c>
      <c r="E12" s="22">
        <v>8995</v>
      </c>
      <c r="F12" s="22">
        <f t="shared" si="0"/>
        <v>8995</v>
      </c>
    </row>
    <row r="13" spans="2:6" ht="15.6" x14ac:dyDescent="0.3">
      <c r="B13" s="36" t="s">
        <v>89</v>
      </c>
      <c r="C13" s="36" t="s">
        <v>90</v>
      </c>
      <c r="D13" s="13">
        <v>1</v>
      </c>
      <c r="E13" s="22"/>
      <c r="F13" s="22">
        <f t="shared" si="0"/>
        <v>0</v>
      </c>
    </row>
    <row r="14" spans="2:6" ht="15.6" x14ac:dyDescent="0.3">
      <c r="B14" s="36" t="s">
        <v>91</v>
      </c>
      <c r="C14" s="36" t="s">
        <v>149</v>
      </c>
      <c r="D14" s="13">
        <v>1</v>
      </c>
      <c r="E14" s="22">
        <v>1333.99</v>
      </c>
      <c r="F14" s="22">
        <f t="shared" si="0"/>
        <v>1333.99</v>
      </c>
    </row>
    <row r="15" spans="2:6" ht="15.6" x14ac:dyDescent="0.3">
      <c r="B15" s="36" t="s">
        <v>92</v>
      </c>
      <c r="C15" s="36" t="s">
        <v>150</v>
      </c>
      <c r="D15" s="13">
        <v>1</v>
      </c>
      <c r="E15" s="22">
        <v>1030</v>
      </c>
      <c r="F15" s="22">
        <f t="shared" si="0"/>
        <v>1030</v>
      </c>
    </row>
    <row r="16" spans="2:6" ht="15.6" x14ac:dyDescent="0.3">
      <c r="B16" s="36" t="s">
        <v>93</v>
      </c>
      <c r="C16" s="36" t="s">
        <v>34</v>
      </c>
      <c r="D16" s="13">
        <v>1</v>
      </c>
      <c r="E16" s="22">
        <v>240</v>
      </c>
      <c r="F16" s="22">
        <f t="shared" si="0"/>
        <v>240</v>
      </c>
    </row>
    <row r="17" spans="2:6" ht="15.6" x14ac:dyDescent="0.3">
      <c r="B17" s="36" t="s">
        <v>94</v>
      </c>
      <c r="C17" s="36" t="s">
        <v>95</v>
      </c>
      <c r="D17" s="13">
        <v>1</v>
      </c>
      <c r="E17" s="22">
        <v>120</v>
      </c>
      <c r="F17" s="22">
        <f t="shared" si="0"/>
        <v>120</v>
      </c>
    </row>
    <row r="18" spans="2:6" ht="15.6" x14ac:dyDescent="0.3">
      <c r="B18" s="36" t="s">
        <v>96</v>
      </c>
      <c r="C18" s="36" t="s">
        <v>162</v>
      </c>
      <c r="D18" s="13">
        <v>1</v>
      </c>
      <c r="E18" s="22">
        <v>959.22</v>
      </c>
      <c r="F18" s="22">
        <f t="shared" si="0"/>
        <v>959.22</v>
      </c>
    </row>
    <row r="19" spans="2:6" ht="15.6" x14ac:dyDescent="0.3">
      <c r="B19" s="36" t="s">
        <v>97</v>
      </c>
      <c r="C19" s="36" t="s">
        <v>98</v>
      </c>
      <c r="D19" s="13">
        <v>1</v>
      </c>
      <c r="E19" s="22">
        <v>3200</v>
      </c>
      <c r="F19" s="22">
        <f t="shared" si="0"/>
        <v>3200</v>
      </c>
    </row>
    <row r="20" spans="2:6" ht="15.6" x14ac:dyDescent="0.3">
      <c r="B20" s="36" t="s">
        <v>132</v>
      </c>
      <c r="C20" s="36" t="s">
        <v>133</v>
      </c>
      <c r="D20" s="13">
        <v>1</v>
      </c>
      <c r="E20" s="22">
        <v>210</v>
      </c>
      <c r="F20" s="22">
        <f>E20*D20</f>
        <v>210</v>
      </c>
    </row>
    <row r="21" spans="2:6" x14ac:dyDescent="0.3">
      <c r="F21" s="34">
        <f>SUM(F3:F20)</f>
        <v>38711.65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11157-B34D-48CC-88D9-098841B11308}">
  <sheetPr>
    <tabColor rgb="FF00B050"/>
  </sheetPr>
  <dimension ref="B1:Q56"/>
  <sheetViews>
    <sheetView zoomScale="70" zoomScaleNormal="70" workbookViewId="0">
      <selection activeCell="Q29" sqref="Q29"/>
    </sheetView>
  </sheetViews>
  <sheetFormatPr baseColWidth="10" defaultRowHeight="14.4" x14ac:dyDescent="0.3"/>
  <cols>
    <col min="2" max="2" width="47" customWidth="1"/>
    <col min="3" max="3" width="37.33203125" bestFit="1" customWidth="1"/>
    <col min="9" max="9" width="51" customWidth="1"/>
    <col min="10" max="10" width="31.77734375" bestFit="1" customWidth="1"/>
  </cols>
  <sheetData>
    <row r="1" spans="2:17" x14ac:dyDescent="0.3">
      <c r="B1" s="4" t="s">
        <v>99</v>
      </c>
      <c r="E1" s="2"/>
      <c r="I1" s="4" t="s">
        <v>105</v>
      </c>
    </row>
    <row r="2" spans="2:17" x14ac:dyDescent="0.3">
      <c r="B2" s="30" t="s">
        <v>0</v>
      </c>
      <c r="C2" s="31" t="s">
        <v>3</v>
      </c>
      <c r="D2" s="30" t="s">
        <v>1</v>
      </c>
      <c r="E2" s="35" t="s">
        <v>2</v>
      </c>
      <c r="F2" s="32" t="s">
        <v>4</v>
      </c>
      <c r="I2" s="30" t="s">
        <v>0</v>
      </c>
      <c r="J2" s="31" t="s">
        <v>3</v>
      </c>
      <c r="K2" s="30" t="s">
        <v>1</v>
      </c>
      <c r="L2" s="30" t="s">
        <v>2</v>
      </c>
      <c r="M2" s="32" t="s">
        <v>4</v>
      </c>
    </row>
    <row r="3" spans="2:17" ht="15.6" x14ac:dyDescent="0.3">
      <c r="B3" s="36" t="s">
        <v>23</v>
      </c>
      <c r="C3" s="36" t="s">
        <v>42</v>
      </c>
      <c r="D3" s="9">
        <v>1</v>
      </c>
      <c r="E3" s="22">
        <v>250</v>
      </c>
      <c r="F3" s="22">
        <f t="shared" ref="F3:F9" si="0">E3*D3</f>
        <v>250</v>
      </c>
      <c r="I3" s="36" t="s">
        <v>23</v>
      </c>
      <c r="J3" s="36" t="s">
        <v>42</v>
      </c>
      <c r="K3" s="9">
        <v>1</v>
      </c>
      <c r="L3" s="22">
        <v>250</v>
      </c>
      <c r="M3" s="22">
        <f t="shared" ref="M3:M9" si="1">L3*K3</f>
        <v>250</v>
      </c>
    </row>
    <row r="4" spans="2:17" ht="15.6" x14ac:dyDescent="0.3">
      <c r="B4" s="36" t="s">
        <v>24</v>
      </c>
      <c r="C4" s="36" t="s">
        <v>31</v>
      </c>
      <c r="D4" s="9">
        <v>4</v>
      </c>
      <c r="E4" s="22">
        <v>469.95</v>
      </c>
      <c r="F4" s="22">
        <f t="shared" si="0"/>
        <v>1879.8</v>
      </c>
      <c r="I4" s="36" t="s">
        <v>24</v>
      </c>
      <c r="J4" s="36" t="s">
        <v>31</v>
      </c>
      <c r="K4" s="9">
        <v>4</v>
      </c>
      <c r="L4" s="22">
        <v>469.95</v>
      </c>
      <c r="M4" s="22">
        <f t="shared" si="1"/>
        <v>1879.8</v>
      </c>
    </row>
    <row r="5" spans="2:17" ht="15.6" x14ac:dyDescent="0.3">
      <c r="B5" s="36" t="s">
        <v>101</v>
      </c>
      <c r="C5" s="36" t="s">
        <v>32</v>
      </c>
      <c r="D5" s="9">
        <v>2</v>
      </c>
      <c r="E5" s="22">
        <v>888.56</v>
      </c>
      <c r="F5" s="22">
        <f t="shared" si="0"/>
        <v>1777.12</v>
      </c>
      <c r="I5" s="36" t="s">
        <v>101</v>
      </c>
      <c r="J5" s="36" t="s">
        <v>106</v>
      </c>
      <c r="K5" s="9">
        <v>3</v>
      </c>
      <c r="L5" s="22">
        <v>888.56</v>
      </c>
      <c r="M5" s="22">
        <f t="shared" si="1"/>
        <v>2665.68</v>
      </c>
    </row>
    <row r="6" spans="2:17" ht="15.6" x14ac:dyDescent="0.3">
      <c r="B6" s="36" t="s">
        <v>100</v>
      </c>
      <c r="C6" s="36" t="s">
        <v>102</v>
      </c>
      <c r="D6" s="9">
        <v>3</v>
      </c>
      <c r="E6" s="22">
        <v>4450</v>
      </c>
      <c r="F6" s="22">
        <f t="shared" si="0"/>
        <v>13350</v>
      </c>
      <c r="I6" s="36" t="s">
        <v>26</v>
      </c>
      <c r="J6" s="36" t="s">
        <v>107</v>
      </c>
      <c r="K6" s="9">
        <v>2</v>
      </c>
      <c r="L6" s="22">
        <v>2739.99</v>
      </c>
      <c r="M6" s="22">
        <f t="shared" si="1"/>
        <v>5479.98</v>
      </c>
    </row>
    <row r="7" spans="2:17" ht="15.6" x14ac:dyDescent="0.3">
      <c r="B7" s="36" t="s">
        <v>27</v>
      </c>
      <c r="C7" s="36" t="s">
        <v>46</v>
      </c>
      <c r="D7" s="9">
        <v>4</v>
      </c>
      <c r="E7" s="22">
        <v>240</v>
      </c>
      <c r="F7" s="22">
        <f t="shared" si="0"/>
        <v>960</v>
      </c>
      <c r="I7" s="36" t="s">
        <v>27</v>
      </c>
      <c r="J7" s="36" t="s">
        <v>46</v>
      </c>
      <c r="K7" s="9">
        <v>4</v>
      </c>
      <c r="L7" s="22">
        <v>240</v>
      </c>
      <c r="M7" s="22">
        <f t="shared" si="1"/>
        <v>960</v>
      </c>
    </row>
    <row r="8" spans="2:17" ht="15.6" x14ac:dyDescent="0.3">
      <c r="B8" s="36" t="s">
        <v>28</v>
      </c>
      <c r="C8" s="36" t="s">
        <v>35</v>
      </c>
      <c r="D8" s="9">
        <v>2</v>
      </c>
      <c r="E8" s="22">
        <v>682.49</v>
      </c>
      <c r="F8" s="22">
        <f t="shared" si="0"/>
        <v>1364.98</v>
      </c>
      <c r="I8" s="36" t="s">
        <v>108</v>
      </c>
      <c r="J8" s="36" t="s">
        <v>109</v>
      </c>
      <c r="K8" s="9">
        <v>2</v>
      </c>
      <c r="L8" s="22">
        <v>59.99</v>
      </c>
      <c r="M8" s="22">
        <f t="shared" si="1"/>
        <v>119.98</v>
      </c>
    </row>
    <row r="9" spans="2:17" ht="15.6" x14ac:dyDescent="0.3">
      <c r="B9" s="36" t="s">
        <v>103</v>
      </c>
      <c r="C9" s="36" t="s">
        <v>104</v>
      </c>
      <c r="D9" s="9">
        <v>8</v>
      </c>
      <c r="E9" s="22">
        <v>47.14</v>
      </c>
      <c r="F9" s="22">
        <f t="shared" si="0"/>
        <v>377.12</v>
      </c>
      <c r="I9" s="36" t="s">
        <v>55</v>
      </c>
      <c r="J9" s="36" t="s">
        <v>110</v>
      </c>
      <c r="K9" s="9">
        <v>3</v>
      </c>
      <c r="L9" s="22">
        <v>175</v>
      </c>
      <c r="M9" s="22">
        <f t="shared" si="1"/>
        <v>525</v>
      </c>
    </row>
    <row r="10" spans="2:17" x14ac:dyDescent="0.3">
      <c r="E10" s="2"/>
      <c r="F10" s="34">
        <f>SUM(F3:F9)</f>
        <v>19959.019999999997</v>
      </c>
      <c r="L10" s="2"/>
      <c r="M10" s="34">
        <f>SUM(M3:M9)</f>
        <v>11880.439999999999</v>
      </c>
    </row>
    <row r="11" spans="2:17" ht="15.6" x14ac:dyDescent="0.3">
      <c r="B11" s="3" t="s">
        <v>111</v>
      </c>
      <c r="E11" s="2"/>
      <c r="L11" s="2"/>
    </row>
    <row r="12" spans="2:17" x14ac:dyDescent="0.3">
      <c r="B12" s="30" t="s">
        <v>0</v>
      </c>
      <c r="C12" s="31" t="s">
        <v>3</v>
      </c>
      <c r="D12" s="30" t="s">
        <v>1</v>
      </c>
      <c r="E12" s="35" t="s">
        <v>2</v>
      </c>
      <c r="F12" s="32" t="s">
        <v>4</v>
      </c>
      <c r="L12" s="2"/>
    </row>
    <row r="13" spans="2:17" ht="15.6" x14ac:dyDescent="0.3">
      <c r="B13" s="36" t="s">
        <v>47</v>
      </c>
      <c r="C13" s="36" t="s">
        <v>112</v>
      </c>
      <c r="D13" s="9">
        <v>1</v>
      </c>
      <c r="E13" s="22">
        <v>138.99</v>
      </c>
      <c r="F13" s="22">
        <f t="shared" ref="F13:F21" si="2">E13*D13</f>
        <v>138.99</v>
      </c>
      <c r="L13" s="2"/>
    </row>
    <row r="14" spans="2:17" ht="15.6" x14ac:dyDescent="0.3">
      <c r="B14" s="36" t="s">
        <v>113</v>
      </c>
      <c r="C14" s="37" t="s">
        <v>136</v>
      </c>
      <c r="D14" s="9">
        <v>3</v>
      </c>
      <c r="E14" s="22">
        <v>469.95</v>
      </c>
      <c r="F14" s="22">
        <f t="shared" si="2"/>
        <v>1409.85</v>
      </c>
      <c r="I14" s="3" t="s">
        <v>119</v>
      </c>
      <c r="L14" s="2"/>
    </row>
    <row r="15" spans="2:17" ht="15.6" x14ac:dyDescent="0.3">
      <c r="B15" s="36" t="s">
        <v>27</v>
      </c>
      <c r="C15" s="36" t="s">
        <v>46</v>
      </c>
      <c r="D15" s="9">
        <v>4</v>
      </c>
      <c r="E15" s="22">
        <v>240</v>
      </c>
      <c r="F15" s="22">
        <f t="shared" si="2"/>
        <v>960</v>
      </c>
      <c r="I15" s="30" t="s">
        <v>0</v>
      </c>
      <c r="J15" s="31" t="s">
        <v>3</v>
      </c>
      <c r="K15" s="30" t="s">
        <v>1</v>
      </c>
      <c r="L15" s="35" t="s">
        <v>2</v>
      </c>
      <c r="M15" s="32" t="s">
        <v>4</v>
      </c>
      <c r="O15" s="52" t="s">
        <v>187</v>
      </c>
    </row>
    <row r="16" spans="2:17" ht="15.6" x14ac:dyDescent="0.3">
      <c r="B16" s="36" t="s">
        <v>114</v>
      </c>
      <c r="C16" s="36" t="s">
        <v>115</v>
      </c>
      <c r="D16" s="9">
        <v>2</v>
      </c>
      <c r="E16" s="22">
        <v>306.52999999999997</v>
      </c>
      <c r="F16" s="22">
        <f t="shared" si="2"/>
        <v>613.05999999999995</v>
      </c>
      <c r="I16" s="36" t="s">
        <v>120</v>
      </c>
      <c r="J16" s="36" t="s">
        <v>34</v>
      </c>
      <c r="K16" s="9">
        <v>2</v>
      </c>
      <c r="L16" s="22">
        <v>240</v>
      </c>
      <c r="M16" s="40">
        <f>L16*K16</f>
        <v>480</v>
      </c>
      <c r="O16" s="80" t="s">
        <v>172</v>
      </c>
      <c r="P16" s="80"/>
      <c r="Q16" s="80"/>
    </row>
    <row r="17" spans="2:17" ht="15.6" x14ac:dyDescent="0.3">
      <c r="B17" s="36" t="s">
        <v>28</v>
      </c>
      <c r="C17" s="36" t="s">
        <v>35</v>
      </c>
      <c r="D17" s="9">
        <v>2</v>
      </c>
      <c r="E17" s="22">
        <v>682.49</v>
      </c>
      <c r="F17" s="22">
        <f t="shared" si="2"/>
        <v>1364.98</v>
      </c>
      <c r="I17" s="36" t="s">
        <v>37</v>
      </c>
      <c r="J17" s="36" t="s">
        <v>59</v>
      </c>
      <c r="K17" s="9">
        <v>2</v>
      </c>
      <c r="L17" s="22">
        <v>44.99</v>
      </c>
      <c r="M17" s="40">
        <f>L17*K17</f>
        <v>89.98</v>
      </c>
      <c r="O17" s="80" t="s">
        <v>171</v>
      </c>
      <c r="P17" s="80"/>
      <c r="Q17" s="80"/>
    </row>
    <row r="18" spans="2:17" ht="15.6" x14ac:dyDescent="0.3">
      <c r="B18" s="36" t="s">
        <v>37</v>
      </c>
      <c r="C18" s="36" t="s">
        <v>38</v>
      </c>
      <c r="D18" s="9">
        <v>2</v>
      </c>
      <c r="E18" s="22">
        <v>44.99</v>
      </c>
      <c r="F18" s="22">
        <f t="shared" si="2"/>
        <v>89.98</v>
      </c>
      <c r="I18" s="36" t="s">
        <v>29</v>
      </c>
      <c r="J18" s="36" t="s">
        <v>36</v>
      </c>
      <c r="K18" s="9">
        <v>2</v>
      </c>
      <c r="L18" s="22">
        <v>53.43</v>
      </c>
      <c r="M18" s="40">
        <f>L18*K18</f>
        <v>106.86</v>
      </c>
      <c r="O18" s="80" t="s">
        <v>180</v>
      </c>
      <c r="P18" s="80"/>
      <c r="Q18" s="80"/>
    </row>
    <row r="19" spans="2:17" ht="15.6" x14ac:dyDescent="0.3">
      <c r="B19" s="36" t="s">
        <v>29</v>
      </c>
      <c r="C19" s="36" t="s">
        <v>36</v>
      </c>
      <c r="D19" s="9">
        <v>1</v>
      </c>
      <c r="E19" s="22">
        <v>53.43</v>
      </c>
      <c r="F19" s="22">
        <f t="shared" si="2"/>
        <v>53.43</v>
      </c>
      <c r="L19" s="2"/>
      <c r="M19" s="26">
        <f>SUM(M16:M18)</f>
        <v>676.84</v>
      </c>
      <c r="O19" s="80" t="s">
        <v>181</v>
      </c>
      <c r="P19" s="80"/>
      <c r="Q19" s="80"/>
    </row>
    <row r="20" spans="2:17" ht="15.6" x14ac:dyDescent="0.3">
      <c r="B20" s="36" t="s">
        <v>116</v>
      </c>
      <c r="C20" s="36" t="s">
        <v>109</v>
      </c>
      <c r="D20" s="9">
        <v>1</v>
      </c>
      <c r="E20" s="22">
        <v>59.99</v>
      </c>
      <c r="F20" s="22">
        <f t="shared" si="2"/>
        <v>59.99</v>
      </c>
      <c r="O20" s="80" t="s">
        <v>179</v>
      </c>
      <c r="P20" s="80"/>
      <c r="Q20" s="80"/>
    </row>
    <row r="21" spans="2:17" ht="15.6" x14ac:dyDescent="0.3">
      <c r="B21" s="36" t="s">
        <v>117</v>
      </c>
      <c r="C21" s="36" t="s">
        <v>118</v>
      </c>
      <c r="D21" s="9">
        <v>8</v>
      </c>
      <c r="E21" s="22">
        <v>79.989999999999995</v>
      </c>
      <c r="F21" s="22">
        <f t="shared" si="2"/>
        <v>639.91999999999996</v>
      </c>
    </row>
    <row r="22" spans="2:17" ht="15.6" x14ac:dyDescent="0.3">
      <c r="E22" s="2"/>
      <c r="F22" s="26">
        <f>SUM(F13:F21)</f>
        <v>5330.2</v>
      </c>
      <c r="I22" s="3" t="s">
        <v>121</v>
      </c>
      <c r="L22" s="2"/>
    </row>
    <row r="23" spans="2:17" x14ac:dyDescent="0.3">
      <c r="E23" s="2"/>
      <c r="I23" s="30" t="s">
        <v>0</v>
      </c>
      <c r="J23" s="31" t="s">
        <v>3</v>
      </c>
      <c r="K23" s="30" t="s">
        <v>1</v>
      </c>
      <c r="L23" s="35" t="s">
        <v>2</v>
      </c>
      <c r="M23" s="32" t="s">
        <v>4</v>
      </c>
    </row>
    <row r="24" spans="2:17" ht="15.6" x14ac:dyDescent="0.3">
      <c r="E24" s="2"/>
      <c r="I24" s="36" t="s">
        <v>27</v>
      </c>
      <c r="J24" s="36" t="s">
        <v>34</v>
      </c>
      <c r="K24" s="9">
        <v>4</v>
      </c>
      <c r="L24" s="22">
        <v>240</v>
      </c>
      <c r="M24" s="40">
        <f>L24*K24</f>
        <v>960</v>
      </c>
    </row>
    <row r="25" spans="2:17" ht="15.6" x14ac:dyDescent="0.3">
      <c r="E25" s="2"/>
      <c r="I25" s="36" t="s">
        <v>28</v>
      </c>
      <c r="J25" s="36" t="s">
        <v>35</v>
      </c>
      <c r="K25" s="9">
        <v>2</v>
      </c>
      <c r="L25" s="22">
        <v>682.49</v>
      </c>
      <c r="M25" s="40">
        <f>L25*K25</f>
        <v>1364.98</v>
      </c>
    </row>
    <row r="26" spans="2:17" ht="15.6" x14ac:dyDescent="0.3">
      <c r="B26" s="3" t="s">
        <v>122</v>
      </c>
      <c r="E26" s="2"/>
      <c r="I26" s="36" t="s">
        <v>55</v>
      </c>
      <c r="J26" s="36" t="s">
        <v>110</v>
      </c>
      <c r="K26" s="9">
        <v>1</v>
      </c>
      <c r="L26" s="22">
        <v>175</v>
      </c>
      <c r="M26" s="40">
        <f>L26*K26</f>
        <v>175</v>
      </c>
    </row>
    <row r="27" spans="2:17" x14ac:dyDescent="0.3">
      <c r="B27" s="31" t="s">
        <v>0</v>
      </c>
      <c r="C27" s="31" t="s">
        <v>3</v>
      </c>
      <c r="D27" s="30" t="s">
        <v>1</v>
      </c>
      <c r="E27" s="35" t="s">
        <v>2</v>
      </c>
      <c r="F27" s="32" t="s">
        <v>4</v>
      </c>
      <c r="L27" s="2"/>
      <c r="M27" s="26">
        <f>SUM(M24:M26)</f>
        <v>2499.98</v>
      </c>
    </row>
    <row r="28" spans="2:17" ht="15.6" x14ac:dyDescent="0.3">
      <c r="B28" s="36" t="s">
        <v>55</v>
      </c>
      <c r="C28" s="36" t="s">
        <v>56</v>
      </c>
      <c r="D28" s="9">
        <v>4</v>
      </c>
      <c r="E28" s="22">
        <v>175</v>
      </c>
      <c r="F28" s="22">
        <f>E28*D28</f>
        <v>700</v>
      </c>
      <c r="L28" s="2"/>
    </row>
    <row r="29" spans="2:17" ht="15.6" x14ac:dyDescent="0.3">
      <c r="B29" s="36" t="s">
        <v>27</v>
      </c>
      <c r="C29" s="36" t="s">
        <v>34</v>
      </c>
      <c r="D29" s="9">
        <v>4</v>
      </c>
      <c r="E29" s="22">
        <v>240</v>
      </c>
      <c r="F29" s="22">
        <f>E29*D29</f>
        <v>960</v>
      </c>
      <c r="I29" s="3" t="s">
        <v>125</v>
      </c>
      <c r="L29" s="2"/>
    </row>
    <row r="30" spans="2:17" ht="15.6" x14ac:dyDescent="0.3">
      <c r="B30" s="36" t="s">
        <v>26</v>
      </c>
      <c r="C30" s="36" t="s">
        <v>33</v>
      </c>
      <c r="D30" s="9">
        <v>2</v>
      </c>
      <c r="E30" s="22">
        <v>2739.99</v>
      </c>
      <c r="F30" s="22">
        <f>E30*D30</f>
        <v>5479.98</v>
      </c>
      <c r="I30" s="30" t="s">
        <v>0</v>
      </c>
      <c r="J30" s="31" t="s">
        <v>3</v>
      </c>
      <c r="K30" s="30" t="s">
        <v>1</v>
      </c>
      <c r="L30" s="35" t="s">
        <v>2</v>
      </c>
      <c r="M30" s="32" t="s">
        <v>4</v>
      </c>
    </row>
    <row r="31" spans="2:17" ht="15.6" x14ac:dyDescent="0.3">
      <c r="B31" s="36" t="s">
        <v>123</v>
      </c>
      <c r="C31" s="38" t="s">
        <v>38</v>
      </c>
      <c r="D31" s="9">
        <v>2</v>
      </c>
      <c r="E31" s="22">
        <v>44.99</v>
      </c>
      <c r="F31" s="22">
        <f>E31*D31</f>
        <v>89.98</v>
      </c>
      <c r="I31" s="36" t="s">
        <v>23</v>
      </c>
      <c r="J31" s="36" t="s">
        <v>42</v>
      </c>
      <c r="K31" s="9">
        <v>1</v>
      </c>
      <c r="L31" s="22">
        <v>250</v>
      </c>
      <c r="M31" s="22">
        <f>L31*K31</f>
        <v>250</v>
      </c>
    </row>
    <row r="32" spans="2:17" ht="15.6" x14ac:dyDescent="0.3">
      <c r="B32" s="1"/>
      <c r="C32" s="1"/>
      <c r="E32" s="2"/>
      <c r="F32" s="26">
        <f>SUM(F28:F31)</f>
        <v>7229.9599999999991</v>
      </c>
      <c r="I32" s="36" t="s">
        <v>55</v>
      </c>
      <c r="J32" s="36" t="s">
        <v>110</v>
      </c>
      <c r="K32" s="9">
        <v>1</v>
      </c>
      <c r="L32" s="22">
        <v>175</v>
      </c>
      <c r="M32" s="22">
        <f>L32*K32</f>
        <v>175</v>
      </c>
    </row>
    <row r="33" spans="2:13" ht="15.6" x14ac:dyDescent="0.3">
      <c r="B33" s="6" t="s">
        <v>124</v>
      </c>
      <c r="E33" s="2"/>
      <c r="I33" s="36" t="s">
        <v>28</v>
      </c>
      <c r="J33" s="36" t="s">
        <v>35</v>
      </c>
      <c r="K33" s="9">
        <v>1</v>
      </c>
      <c r="L33" s="22">
        <v>682.49</v>
      </c>
      <c r="M33" s="22">
        <f>L33*K33</f>
        <v>682.49</v>
      </c>
    </row>
    <row r="34" spans="2:13" ht="15.6" x14ac:dyDescent="0.3">
      <c r="B34" s="31" t="s">
        <v>0</v>
      </c>
      <c r="C34" s="31" t="s">
        <v>3</v>
      </c>
      <c r="D34" s="30" t="s">
        <v>1</v>
      </c>
      <c r="E34" s="35" t="s">
        <v>2</v>
      </c>
      <c r="F34" s="32" t="s">
        <v>4</v>
      </c>
      <c r="I34" s="36" t="s">
        <v>27</v>
      </c>
      <c r="J34" s="36" t="s">
        <v>46</v>
      </c>
      <c r="K34" s="9">
        <v>3</v>
      </c>
      <c r="L34" s="23">
        <v>240</v>
      </c>
      <c r="M34" s="22">
        <f>L34*K34</f>
        <v>720</v>
      </c>
    </row>
    <row r="35" spans="2:13" ht="15.6" x14ac:dyDescent="0.3">
      <c r="B35" s="36" t="s">
        <v>55</v>
      </c>
      <c r="C35" s="36" t="s">
        <v>56</v>
      </c>
      <c r="D35" s="39">
        <v>2</v>
      </c>
      <c r="E35" s="22">
        <v>175</v>
      </c>
      <c r="F35" s="22">
        <f>E35*D35</f>
        <v>350</v>
      </c>
      <c r="I35" s="1"/>
      <c r="J35" s="1"/>
      <c r="L35" s="2"/>
      <c r="M35" s="46">
        <f>SUM(M31:M34)</f>
        <v>1827.49</v>
      </c>
    </row>
    <row r="36" spans="2:13" ht="15.6" x14ac:dyDescent="0.3">
      <c r="B36" s="36" t="s">
        <v>27</v>
      </c>
      <c r="C36" s="36" t="s">
        <v>34</v>
      </c>
      <c r="D36" s="39">
        <v>2</v>
      </c>
      <c r="E36" s="22">
        <v>240</v>
      </c>
      <c r="F36" s="22">
        <f>E36*D36</f>
        <v>480</v>
      </c>
      <c r="I36" s="3" t="s">
        <v>126</v>
      </c>
      <c r="J36" s="1"/>
      <c r="L36" s="2"/>
    </row>
    <row r="37" spans="2:13" ht="15.6" x14ac:dyDescent="0.3">
      <c r="B37" s="36" t="s">
        <v>123</v>
      </c>
      <c r="C37" s="36" t="s">
        <v>38</v>
      </c>
      <c r="D37" s="9">
        <v>1</v>
      </c>
      <c r="E37" s="22">
        <v>44.99</v>
      </c>
      <c r="F37" s="22">
        <f>E37*D37</f>
        <v>44.99</v>
      </c>
      <c r="I37" s="30" t="s">
        <v>0</v>
      </c>
      <c r="J37" s="31" t="s">
        <v>3</v>
      </c>
      <c r="K37" s="30" t="s">
        <v>1</v>
      </c>
      <c r="L37" s="35" t="s">
        <v>2</v>
      </c>
      <c r="M37" s="32" t="s">
        <v>4</v>
      </c>
    </row>
    <row r="38" spans="2:13" ht="15.6" x14ac:dyDescent="0.3">
      <c r="B38" s="1"/>
      <c r="C38" s="1"/>
      <c r="E38" s="2"/>
      <c r="F38" s="26">
        <f>SUM(F35:F37)</f>
        <v>874.99</v>
      </c>
      <c r="I38" s="36" t="s">
        <v>27</v>
      </c>
      <c r="J38" s="36" t="s">
        <v>34</v>
      </c>
      <c r="K38" s="9">
        <v>2</v>
      </c>
      <c r="L38" s="22">
        <v>240</v>
      </c>
      <c r="M38" s="22">
        <f>L38*K38</f>
        <v>480</v>
      </c>
    </row>
    <row r="39" spans="2:13" ht="15.6" x14ac:dyDescent="0.3">
      <c r="E39" s="2"/>
      <c r="I39" s="36" t="s">
        <v>123</v>
      </c>
      <c r="J39" s="36" t="s">
        <v>38</v>
      </c>
      <c r="K39" s="9">
        <v>1</v>
      </c>
      <c r="L39" s="22">
        <v>44.99</v>
      </c>
      <c r="M39" s="22">
        <f>L39*K39</f>
        <v>44.99</v>
      </c>
    </row>
    <row r="40" spans="2:13" ht="15.6" x14ac:dyDescent="0.3">
      <c r="E40" s="2"/>
      <c r="I40" s="36" t="s">
        <v>127</v>
      </c>
      <c r="J40" s="36" t="s">
        <v>36</v>
      </c>
      <c r="K40" s="9">
        <v>1</v>
      </c>
      <c r="L40" s="22">
        <v>53.43</v>
      </c>
      <c r="M40" s="22">
        <f>L40*K40</f>
        <v>53.43</v>
      </c>
    </row>
    <row r="41" spans="2:13" ht="15.6" x14ac:dyDescent="0.3">
      <c r="B41" s="3" t="s">
        <v>128</v>
      </c>
      <c r="E41" s="2"/>
      <c r="I41" s="36" t="s">
        <v>55</v>
      </c>
      <c r="J41" s="36" t="s">
        <v>56</v>
      </c>
      <c r="K41" s="9">
        <v>2</v>
      </c>
      <c r="L41" s="22">
        <v>175</v>
      </c>
      <c r="M41" s="22">
        <f>L41*K41</f>
        <v>350</v>
      </c>
    </row>
    <row r="42" spans="2:13" x14ac:dyDescent="0.3">
      <c r="B42" s="30" t="s">
        <v>0</v>
      </c>
      <c r="C42" s="31" t="s">
        <v>3</v>
      </c>
      <c r="D42" s="30" t="s">
        <v>1</v>
      </c>
      <c r="E42" s="35" t="s">
        <v>2</v>
      </c>
      <c r="F42" s="32" t="s">
        <v>4</v>
      </c>
      <c r="M42" s="26">
        <f>SUM(M38:M41)</f>
        <v>928.42</v>
      </c>
    </row>
    <row r="43" spans="2:13" ht="15.6" x14ac:dyDescent="0.3">
      <c r="B43" s="36" t="s">
        <v>129</v>
      </c>
      <c r="C43" s="36" t="s">
        <v>110</v>
      </c>
      <c r="D43" s="9">
        <v>2</v>
      </c>
      <c r="E43" s="22">
        <v>175</v>
      </c>
      <c r="F43" s="22">
        <f>E43*D43</f>
        <v>350</v>
      </c>
    </row>
    <row r="44" spans="2:13" ht="15.6" x14ac:dyDescent="0.3">
      <c r="B44" s="36" t="s">
        <v>130</v>
      </c>
      <c r="C44" s="36" t="s">
        <v>131</v>
      </c>
      <c r="D44" s="9">
        <v>1</v>
      </c>
      <c r="E44" s="22">
        <v>53.43</v>
      </c>
      <c r="F44" s="22">
        <f>E44*D44</f>
        <v>53.43</v>
      </c>
    </row>
    <row r="45" spans="2:13" ht="15.6" x14ac:dyDescent="0.3">
      <c r="B45" s="36" t="s">
        <v>27</v>
      </c>
      <c r="C45" s="36" t="s">
        <v>34</v>
      </c>
      <c r="D45" s="9">
        <v>2</v>
      </c>
      <c r="E45" s="22">
        <v>240</v>
      </c>
      <c r="F45" s="22">
        <f>E45*D45</f>
        <v>480</v>
      </c>
    </row>
    <row r="46" spans="2:13" ht="15.6" x14ac:dyDescent="0.3">
      <c r="B46" s="36" t="s">
        <v>134</v>
      </c>
      <c r="C46" s="36" t="s">
        <v>135</v>
      </c>
      <c r="D46" s="9">
        <v>1</v>
      </c>
      <c r="E46" s="22">
        <v>4166</v>
      </c>
      <c r="F46" s="22">
        <f>E46*D46</f>
        <v>4166</v>
      </c>
    </row>
    <row r="47" spans="2:13" ht="15.6" x14ac:dyDescent="0.3">
      <c r="B47" s="1"/>
      <c r="C47" s="1"/>
      <c r="F47" s="25">
        <f>SUM(F43:F46)</f>
        <v>5049.43</v>
      </c>
    </row>
    <row r="48" spans="2:13" x14ac:dyDescent="0.3">
      <c r="I48" s="2"/>
    </row>
    <row r="54" spans="2:9" ht="15.6" x14ac:dyDescent="0.3">
      <c r="B54" s="1"/>
      <c r="C54" s="1"/>
    </row>
    <row r="55" spans="2:9" ht="15.6" x14ac:dyDescent="0.3">
      <c r="B55" s="1"/>
      <c r="C55" s="1"/>
    </row>
    <row r="56" spans="2:9" ht="33.6" x14ac:dyDescent="0.65">
      <c r="B56" s="1"/>
      <c r="C56" s="1"/>
      <c r="D56" s="79" t="s">
        <v>186</v>
      </c>
      <c r="E56" s="79"/>
      <c r="F56" s="79"/>
      <c r="G56" s="79"/>
      <c r="H56" s="79"/>
      <c r="I56" s="51">
        <f>SUM(M42,M35,M27,M19,M10,F47,F32,F22,F10,F38)</f>
        <v>56256.76999999999</v>
      </c>
    </row>
  </sheetData>
  <mergeCells count="6">
    <mergeCell ref="D56:H56"/>
    <mergeCell ref="O16:Q16"/>
    <mergeCell ref="O17:Q17"/>
    <mergeCell ref="O18:Q18"/>
    <mergeCell ref="O19:Q19"/>
    <mergeCell ref="O20:Q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TELCOM ROOM</vt:lpstr>
      <vt:lpstr>LOBBY</vt:lpstr>
      <vt:lpstr>ASCENSORES</vt:lpstr>
      <vt:lpstr>HABITACIONES</vt:lpstr>
      <vt:lpstr>SALON DE EVENTOS Y CONFI</vt:lpstr>
      <vt:lpstr>PARQUEADERO</vt:lpstr>
      <vt:lpstr>OFI ADMINISTRATIVAS</vt:lpstr>
      <vt:lpstr>Cuarto de Mantenimiento e Ing</vt:lpstr>
      <vt:lpstr>CUARTO DE EQUIPOS</vt:lpstr>
      <vt:lpstr>VARIOS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ENRIQUE ALFONSO LEÓN</dc:creator>
  <cp:lastModifiedBy>William Parada</cp:lastModifiedBy>
  <dcterms:created xsi:type="dcterms:W3CDTF">2024-11-20T22:52:44Z</dcterms:created>
  <dcterms:modified xsi:type="dcterms:W3CDTF">2024-12-03T03:28:05Z</dcterms:modified>
</cp:coreProperties>
</file>